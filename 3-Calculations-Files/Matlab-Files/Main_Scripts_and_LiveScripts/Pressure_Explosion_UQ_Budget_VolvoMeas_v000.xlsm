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trlProps/ctrlProp2.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9" codeName="{6A26FB3C-EA34-E94E-B44F-155022A03E17}"/>
  <workbookPr codeName="ThisWorkbook"/>
  <mc:AlternateContent xmlns:mc="http://schemas.openxmlformats.org/markup-compatibility/2006">
    <mc:Choice Requires="x15">
      <x15ac:absPath xmlns:x15ac="http://schemas.microsoft.com/office/spreadsheetml/2010/11/ac" url="/Users/javiercamacho/Desktop/Industrial PhD/Conference-Webinar-Workshops/2025/Volvo-Explosion Experiments Paper/3-Calculations-Files/Matlab-Files/Main_Scripts_and_LiveScripts/"/>
    </mc:Choice>
  </mc:AlternateContent>
  <xr:revisionPtr revIDLastSave="0" documentId="13_ncr:1_{F2DCFB74-9396-A143-9BA3-8098FC159423}" xr6:coauthVersionLast="47" xr6:coauthVersionMax="47" xr10:uidLastSave="{00000000-0000-0000-0000-000000000000}"/>
  <bookViews>
    <workbookView xWindow="26240" yWindow="-12480" windowWidth="38400" windowHeight="21600" activeTab="1" xr2:uid="{00000000-000D-0000-FFFF-FFFF00000000}"/>
  </bookViews>
  <sheets>
    <sheet name="UQ-Budget-CorrectSettings" sheetId="37" r:id="rId1"/>
    <sheet name="Unc.Contributions Analysis-1" sheetId="38" r:id="rId2"/>
    <sheet name="UQ-Budget-VolvoSettings" sheetId="35" r:id="rId3"/>
    <sheet name="Unc.Contributions Analysis-2" sheetId="36" r:id="rId4"/>
  </sheets>
  <definedNames>
    <definedName name="_xleta.ABS" hidden="1" xlm="1">#NAME?</definedName>
    <definedName name="_xleta.AND" hidden="1" xlm="1">#NAME?</definedName>
    <definedName name="_xleta.INDEX" hidden="1" xlm="1">#NAME?</definedName>
    <definedName name="_xleta.OR" hidden="1" xlm="1">#NAME?</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74" i="37" l="1"/>
  <c r="F73" i="37"/>
  <c r="U9" i="38"/>
  <c r="T9" i="38"/>
  <c r="R9" i="38"/>
  <c r="U8" i="38"/>
  <c r="T8" i="38"/>
  <c r="R8" i="38"/>
  <c r="U7" i="38"/>
  <c r="T7" i="38"/>
  <c r="R7" i="38"/>
  <c r="U6" i="38"/>
  <c r="T6" i="38"/>
  <c r="R6" i="38"/>
  <c r="U5" i="38"/>
  <c r="T5" i="38"/>
  <c r="R5" i="38"/>
  <c r="F5" i="38"/>
  <c r="F6" i="38" s="1"/>
  <c r="F7" i="38" s="1"/>
  <c r="F8" i="38" s="1"/>
  <c r="F9" i="38" s="1"/>
  <c r="U4" i="38"/>
  <c r="T4" i="38"/>
  <c r="R4" i="38"/>
  <c r="M87" i="37"/>
  <c r="H87" i="37"/>
  <c r="M86" i="37"/>
  <c r="H86" i="37"/>
  <c r="M78" i="37"/>
  <c r="M76" i="37"/>
  <c r="M75" i="37"/>
  <c r="H75" i="37"/>
  <c r="J75" i="37" s="1"/>
  <c r="N75" i="37" s="1"/>
  <c r="M67" i="37"/>
  <c r="H67" i="37"/>
  <c r="M66" i="37"/>
  <c r="M65" i="37"/>
  <c r="H65" i="37"/>
  <c r="H64" i="37"/>
  <c r="J64" i="37" s="1"/>
  <c r="N64" i="37" s="1"/>
  <c r="F64" i="37"/>
  <c r="D64" i="37"/>
  <c r="D65" i="37" s="1"/>
  <c r="D66" i="37" s="1"/>
  <c r="D67" i="37" s="1"/>
  <c r="D68" i="37" s="1"/>
  <c r="D69" i="37" s="1"/>
  <c r="D70" i="37" s="1"/>
  <c r="D73" i="37" s="1"/>
  <c r="D74" i="37" s="1"/>
  <c r="D75" i="37" s="1"/>
  <c r="D76" i="37" s="1"/>
  <c r="D77" i="37" s="1"/>
  <c r="D78" i="37" s="1"/>
  <c r="D79" i="37" s="1"/>
  <c r="D80" i="37" s="1"/>
  <c r="D81" i="37" s="1"/>
  <c r="D82" i="37" s="1"/>
  <c r="D85" i="37" s="1"/>
  <c r="D86" i="37" s="1"/>
  <c r="D87" i="37" s="1"/>
  <c r="D88" i="37" s="1"/>
  <c r="D89" i="37" s="1"/>
  <c r="D90" i="37" s="1"/>
  <c r="D91" i="37" s="1"/>
  <c r="D94" i="37" s="1"/>
  <c r="D95" i="37" s="1"/>
  <c r="D96" i="37" s="1"/>
  <c r="D97" i="37" s="1"/>
  <c r="D98" i="37" s="1"/>
  <c r="D102" i="37" s="1"/>
  <c r="D103" i="37" s="1"/>
  <c r="D104" i="37" s="1"/>
  <c r="D105" i="37" s="1"/>
  <c r="D106" i="37" s="1"/>
  <c r="D108" i="37" s="1"/>
  <c r="D109" i="37" s="1"/>
  <c r="D110" i="37" s="1"/>
  <c r="D111" i="37" s="1"/>
  <c r="D112" i="37" s="1"/>
  <c r="D114" i="37" s="1"/>
  <c r="D115" i="37" s="1"/>
  <c r="D116" i="37" s="1"/>
  <c r="D117" i="37" s="1"/>
  <c r="D118" i="37" s="1"/>
  <c r="D122" i="37" s="1"/>
  <c r="D123" i="37" s="1"/>
  <c r="D124" i="37" s="1"/>
  <c r="D125" i="37" s="1"/>
  <c r="D126" i="37" s="1"/>
  <c r="F63" i="37"/>
  <c r="J65" i="37" s="1"/>
  <c r="N65" i="37" s="1"/>
  <c r="F33" i="37"/>
  <c r="H27" i="37"/>
  <c r="F11" i="37"/>
  <c r="F28" i="37" s="1"/>
  <c r="T4" i="36"/>
  <c r="U9" i="36"/>
  <c r="T9" i="36"/>
  <c r="R9" i="36"/>
  <c r="U8" i="36"/>
  <c r="T8" i="36"/>
  <c r="R8" i="36"/>
  <c r="U7" i="36"/>
  <c r="T7" i="36"/>
  <c r="R7" i="36"/>
  <c r="U6" i="36"/>
  <c r="T6" i="36"/>
  <c r="R6" i="36"/>
  <c r="U5" i="36"/>
  <c r="T5" i="36"/>
  <c r="R5" i="36"/>
  <c r="F5" i="36"/>
  <c r="F6" i="36" s="1"/>
  <c r="F7" i="36" s="1"/>
  <c r="F8" i="36" s="1"/>
  <c r="F9" i="36" s="1"/>
  <c r="U4" i="36"/>
  <c r="R4" i="36"/>
  <c r="M87" i="35"/>
  <c r="H87" i="35"/>
  <c r="M86" i="35"/>
  <c r="H86" i="35"/>
  <c r="M78" i="35"/>
  <c r="M76" i="35"/>
  <c r="M75" i="35"/>
  <c r="H75" i="35"/>
  <c r="J75" i="35" s="1"/>
  <c r="N75" i="35" s="1"/>
  <c r="M67" i="35"/>
  <c r="H67" i="35"/>
  <c r="M66" i="35"/>
  <c r="M65" i="35"/>
  <c r="H65" i="35"/>
  <c r="H64" i="35"/>
  <c r="J64" i="35" s="1"/>
  <c r="N64" i="35" s="1"/>
  <c r="F64" i="35"/>
  <c r="D64" i="35"/>
  <c r="D65" i="35" s="1"/>
  <c r="D66" i="35" s="1"/>
  <c r="D67" i="35" s="1"/>
  <c r="D68" i="35" s="1"/>
  <c r="D69" i="35" s="1"/>
  <c r="D70" i="35" s="1"/>
  <c r="D73" i="35" s="1"/>
  <c r="D74" i="35" s="1"/>
  <c r="D75" i="35" s="1"/>
  <c r="D76" i="35" s="1"/>
  <c r="D77" i="35" s="1"/>
  <c r="D78" i="35" s="1"/>
  <c r="D79" i="35" s="1"/>
  <c r="D80" i="35" s="1"/>
  <c r="D81" i="35" s="1"/>
  <c r="D82" i="35" s="1"/>
  <c r="D85" i="35" s="1"/>
  <c r="D86" i="35" s="1"/>
  <c r="D87" i="35" s="1"/>
  <c r="D88" i="35" s="1"/>
  <c r="D89" i="35" s="1"/>
  <c r="D90" i="35" s="1"/>
  <c r="D91" i="35" s="1"/>
  <c r="D94" i="35" s="1"/>
  <c r="D95" i="35" s="1"/>
  <c r="D96" i="35" s="1"/>
  <c r="D97" i="35" s="1"/>
  <c r="D98" i="35" s="1"/>
  <c r="D102" i="35" s="1"/>
  <c r="D103" i="35" s="1"/>
  <c r="D104" i="35" s="1"/>
  <c r="D105" i="35" s="1"/>
  <c r="D106" i="35" s="1"/>
  <c r="D108" i="35" s="1"/>
  <c r="D109" i="35" s="1"/>
  <c r="D110" i="35" s="1"/>
  <c r="D111" i="35" s="1"/>
  <c r="D112" i="35" s="1"/>
  <c r="D114" i="35" s="1"/>
  <c r="D115" i="35" s="1"/>
  <c r="D116" i="35" s="1"/>
  <c r="D117" i="35" s="1"/>
  <c r="D118" i="35" s="1"/>
  <c r="D122" i="35" s="1"/>
  <c r="D123" i="35" s="1"/>
  <c r="D124" i="35" s="1"/>
  <c r="D125" i="35" s="1"/>
  <c r="D126" i="35" s="1"/>
  <c r="F63" i="35"/>
  <c r="J65" i="35" s="1"/>
  <c r="N65" i="35" s="1"/>
  <c r="H27" i="35"/>
  <c r="F85" i="37" l="1"/>
  <c r="N63" i="37"/>
  <c r="F77" i="37"/>
  <c r="F33" i="35"/>
  <c r="F11" i="35"/>
  <c r="N63" i="35"/>
  <c r="H78" i="37" l="1"/>
  <c r="J78" i="37" s="1"/>
  <c r="N78" i="37" s="1"/>
  <c r="N77" i="37" s="1"/>
  <c r="H76" i="37"/>
  <c r="I10" i="37" a="1"/>
  <c r="I10" i="37" s="1"/>
  <c r="P74" i="37"/>
  <c r="F28" i="35"/>
  <c r="F77" i="35" s="1"/>
  <c r="P85" i="37" l="1"/>
  <c r="P77" i="37"/>
  <c r="A73" i="37"/>
  <c r="P63" i="37"/>
  <c r="R63" i="37" s="1"/>
  <c r="P73" i="37"/>
  <c r="J86" i="37"/>
  <c r="N86" i="37" s="1"/>
  <c r="J87" i="37"/>
  <c r="N87" i="37" s="1"/>
  <c r="J76" i="37"/>
  <c r="N76" i="37" s="1"/>
  <c r="N74" i="37" s="1"/>
  <c r="N73" i="37" s="1"/>
  <c r="V11" i="37"/>
  <c r="H33" i="37"/>
  <c r="H78" i="35"/>
  <c r="J78" i="35" s="1"/>
  <c r="N78" i="35" s="1"/>
  <c r="N77" i="35" s="1"/>
  <c r="H76" i="35"/>
  <c r="P74" i="35"/>
  <c r="I10" i="35" a="1"/>
  <c r="I10" i="35" s="1"/>
  <c r="F74" i="35"/>
  <c r="F73" i="35" s="1"/>
  <c r="P63" i="35" s="1"/>
  <c r="R63" i="35" s="1"/>
  <c r="F85" i="35"/>
  <c r="N85" i="37" l="1"/>
  <c r="R85" i="37" s="1"/>
  <c r="R73" i="37"/>
  <c r="H66" i="37" a="1"/>
  <c r="H66" i="37" s="1"/>
  <c r="J66" i="37" s="1" a="1"/>
  <c r="J66" i="37" s="1"/>
  <c r="N66" i="37" s="1"/>
  <c r="R66" i="37" s="1"/>
  <c r="J67" i="37"/>
  <c r="N67" i="37" s="1"/>
  <c r="R67" i="37" s="1"/>
  <c r="P73" i="35"/>
  <c r="H33" i="35"/>
  <c r="H66" i="35" s="1" a="1"/>
  <c r="H66" i="35" s="1"/>
  <c r="J66" i="35" s="1" a="1"/>
  <c r="J66" i="35" s="1"/>
  <c r="N66" i="35" s="1"/>
  <c r="R66" i="35" s="1"/>
  <c r="J86" i="35"/>
  <c r="N86" i="35" s="1"/>
  <c r="J87" i="35"/>
  <c r="N87" i="35" s="1"/>
  <c r="J76" i="35"/>
  <c r="N76" i="35" s="1"/>
  <c r="N74" i="35" s="1"/>
  <c r="V11" i="35"/>
  <c r="P85" i="35"/>
  <c r="P77" i="35"/>
  <c r="A73" i="35"/>
  <c r="J33" i="37" l="1"/>
  <c r="T63" i="37" s="1"/>
  <c r="P33" i="37" s="1"/>
  <c r="J67" i="35"/>
  <c r="N67" i="35" s="1"/>
  <c r="R67" i="35" s="1"/>
  <c r="N85" i="35"/>
  <c r="R85" i="35" s="1"/>
  <c r="N73" i="35"/>
  <c r="R73" i="35" s="1"/>
  <c r="L33" i="37" l="1"/>
  <c r="N33" i="37" s="1"/>
  <c r="T73" i="37"/>
  <c r="S33" i="37" s="1"/>
  <c r="T66" i="37"/>
  <c r="Q33" i="37" s="1"/>
  <c r="T67" i="37"/>
  <c r="R33" i="37" s="1"/>
  <c r="T85" i="37"/>
  <c r="T33" i="37" s="1"/>
  <c r="J33" i="35"/>
  <c r="L33" i="35" s="1"/>
  <c r="N33" i="35" s="1"/>
  <c r="U33" i="37" l="1"/>
  <c r="T73" i="35"/>
  <c r="S33" i="35" s="1"/>
  <c r="T66" i="35"/>
  <c r="Q33" i="35" s="1"/>
  <c r="T67" i="35"/>
  <c r="R33" i="35" s="1"/>
  <c r="T85" i="35"/>
  <c r="T33" i="35" s="1"/>
  <c r="T63" i="35"/>
  <c r="P33" i="35" s="1"/>
  <c r="U33" i="3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Javier Camacho</author>
    <author>tc={B58F6E8B-07DE-C741-9E8D-521F5911ACA4}</author>
    <author>tc={0EB930C7-A449-6148-BFDD-2AE23317F201}</author>
    <author>tc={971F799B-226F-C447-94B7-FF56227A35B8}</author>
  </authors>
  <commentList>
    <comment ref="F9" authorId="0" shapeId="0" xr:uid="{109C9559-0E32-B842-BB8D-9E18415663C1}">
      <text>
        <r>
          <rPr>
            <b/>
            <sz val="16"/>
            <color rgb="FF000000"/>
            <rFont val="Arial"/>
            <family val="34"/>
          </rPr>
          <t>Javier Camacho:</t>
        </r>
        <r>
          <rPr>
            <sz val="16"/>
            <color rgb="FF000000"/>
            <rFont val="Arial"/>
            <family val="34"/>
          </rPr>
          <t xml:space="preserve">
</t>
        </r>
        <r>
          <rPr>
            <sz val="16"/>
            <color rgb="FFFF0000"/>
            <rFont val="Arial"/>
            <family val="34"/>
          </rPr>
          <t>"Modify this cell to set the amplifier range based on the expected ∆Pmax pressure."</t>
        </r>
      </text>
    </comment>
    <comment ref="E10" authorId="1" shapeId="0" xr:uid="{B58F6E8B-07DE-C741-9E8D-521F5911ACA4}">
      <text>
        <t>[Threaded comment]
Your version of Excel allows you to read this threaded comment; however, any edits to it will get removed if the file is opened in a newer version of Excel. Learn more: https://go.microsoft.com/fwlink/?linkid=870924
Comment:
    Fixed value, so the DAQ-Logger do not need to be adjusted unless charge ≤ 2 [pC]</t>
      </text>
    </comment>
    <comment ref="H10" authorId="2" shapeId="0" xr:uid="{0EB930C7-A449-6148-BFDD-2AE23317F201}">
      <text>
        <t>[Threaded comment]
Your version of Excel allows you to read this threaded comment; however, any edits to it will get removed if the file is opened in a newer version of Excel. Learn more: https://go.microsoft.com/fwlink/?linkid=870924
Comment:
    Fixed value. DAQ-Logger do not need to be adjusted unless charge ≤ 2 [pC], where the specific Voltage range is selected, based on the charge Q_in and the corresponding Expected DAQ - Voltage Reading . This is due to the amplifier gain limitations to keep the output voltage at 10 [V].</t>
      </text>
    </comment>
    <comment ref="F27" authorId="0" shapeId="0" xr:uid="{60CEBC13-740D-534B-A3C8-79CDDEB3D2F1}">
      <text>
        <r>
          <rPr>
            <b/>
            <sz val="16"/>
            <color rgb="FF000000"/>
            <rFont val="Arial"/>
            <family val="34"/>
          </rPr>
          <t>Javier Camacho:</t>
        </r>
        <r>
          <rPr>
            <sz val="16"/>
            <color rgb="FF000000"/>
            <rFont val="Arial"/>
            <family val="34"/>
          </rPr>
          <t xml:space="preserve">
</t>
        </r>
        <r>
          <rPr>
            <sz val="16"/>
            <color rgb="FFFF0000"/>
            <rFont val="Arial"/>
            <family val="34"/>
          </rPr>
          <t>"Modify this cell to set the expected ∆Pmax pressure."</t>
        </r>
      </text>
    </comment>
    <comment ref="H31" authorId="3" shapeId="0" xr:uid="{971F799B-226F-C447-94B7-FF56227A35B8}">
      <text>
        <t>[Threaded comment]
Your version of Excel allows you to read this threaded comment; however, any edits to it will get removed if the file is opened in a newer version of Excel. Learn more: https://go.microsoft.com/fwlink/?linkid=870924
Comment:
    This cell value should match the Expected ∆Pmax.</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Javier Camacho</author>
    <author>tc={CA162DF7-C66F-C24B-8383-5BE439640963}</author>
    <author>tc={22997E6C-CB29-5D42-9224-C65960D90C3B}</author>
    <author>tc={9F01BCDA-030D-B943-AE51-2893C9482781}</author>
  </authors>
  <commentList>
    <comment ref="F9" authorId="0" shapeId="0" xr:uid="{E4D6AF97-65AA-CF47-B14C-126D2E78CC3E}">
      <text>
        <r>
          <rPr>
            <b/>
            <sz val="16"/>
            <color rgb="FF000000"/>
            <rFont val="Arial"/>
            <family val="34"/>
          </rPr>
          <t>Javier Camacho:</t>
        </r>
        <r>
          <rPr>
            <sz val="16"/>
            <color rgb="FF000000"/>
            <rFont val="Arial"/>
            <family val="34"/>
          </rPr>
          <t xml:space="preserve">
</t>
        </r>
        <r>
          <rPr>
            <sz val="16"/>
            <color rgb="FFFF0000"/>
            <rFont val="Arial"/>
            <family val="34"/>
          </rPr>
          <t>"Modify this cell to set the amplifier range based on the expected ∆Pmax pressure."</t>
        </r>
      </text>
    </comment>
    <comment ref="E10" authorId="1" shapeId="0" xr:uid="{CA162DF7-C66F-C24B-8383-5BE439640963}">
      <text>
        <t>[Threaded comment]
Your version of Excel allows you to read this threaded comment; however, any edits to it will get removed if the file is opened in a newer version of Excel. Learn more: https://go.microsoft.com/fwlink/?linkid=870924
Comment:
    Fixed value, so the DAQ-Logger do not need to be adjusted unless charge ≤ 2 [pC]</t>
      </text>
    </comment>
    <comment ref="H10" authorId="2" shapeId="0" xr:uid="{22997E6C-CB29-5D42-9224-C65960D90C3B}">
      <text>
        <t>[Threaded comment]
Your version of Excel allows you to read this threaded comment; however, any edits to it will get removed if the file is opened in a newer version of Excel. Learn more: https://go.microsoft.com/fwlink/?linkid=870924
Comment:
    Fixed value. DAQ-Logger do not need to be adjusted unless charge ≤ 2 [pC], where the specific Voltage range is selected, based on the charge Q_in and the corresponding Expected DAQ - Voltage Reading . This is due to the amplifier gain limitations to keep the output voltage at 10 [V].</t>
      </text>
    </comment>
    <comment ref="F27" authorId="0" shapeId="0" xr:uid="{7C6CD00E-4A5C-7247-A3E2-38CD6D65998C}">
      <text>
        <r>
          <rPr>
            <b/>
            <sz val="16"/>
            <color rgb="FF000000"/>
            <rFont val="Arial"/>
            <family val="34"/>
          </rPr>
          <t>Javier Camacho:</t>
        </r>
        <r>
          <rPr>
            <sz val="16"/>
            <color rgb="FF000000"/>
            <rFont val="Arial"/>
            <family val="34"/>
          </rPr>
          <t xml:space="preserve">
</t>
        </r>
        <r>
          <rPr>
            <sz val="16"/>
            <color rgb="FFFF0000"/>
            <rFont val="Arial"/>
            <family val="34"/>
          </rPr>
          <t>"Modify this cell to set the expected ∆Pmax pressure."</t>
        </r>
      </text>
    </comment>
    <comment ref="H31" authorId="3" shapeId="0" xr:uid="{9F01BCDA-030D-B943-AE51-2893C9482781}">
      <text>
        <t>[Threaded comment]
Your version of Excel allows you to read this threaded comment; however, any edits to it will get removed if the file is opened in a newer version of Excel. Learn more: https://go.microsoft.com/fwlink/?linkid=870924
Comment:
    This cell value should match the Expected ∆Pmax.</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<sst xmlns="http://schemas.openxmlformats.org/spreadsheetml/2006/main" count="1054" uniqueCount="142">
  <si>
    <t>[bar]</t>
  </si>
  <si>
    <t>Comments</t>
  </si>
  <si>
    <t>[-]</t>
  </si>
  <si>
    <t xml:space="preserve"> Uncertainty Budget for Pressure Peak Estimation of Vented Hydrogen Deflagration</t>
  </si>
  <si>
    <t>Pressure Transducer (Pt)</t>
  </si>
  <si>
    <t>Charge Amplifier (Camp)</t>
  </si>
  <si>
    <t>Data Processing</t>
  </si>
  <si>
    <t>Initial &amp; Boundary Conditions (ICs &amp; BCs)</t>
  </si>
  <si>
    <t>Hydrogen Flammable Mixture Preparation</t>
  </si>
  <si>
    <t>Ignition Source</t>
  </si>
  <si>
    <t>Internal Initial Turbulence</t>
  </si>
  <si>
    <t>[%]</t>
  </si>
  <si>
    <t>Sensitivity Shift (u_SS)</t>
  </si>
  <si>
    <t>Thermo Shock (u_TS)</t>
  </si>
  <si>
    <t>-</t>
  </si>
  <si>
    <t>Load-Change Drift (u_LCD)</t>
  </si>
  <si>
    <t>Vout Offset (u_Voffset)</t>
  </si>
  <si>
    <t>Offset error (RESET)</t>
  </si>
  <si>
    <t>Documented but not Included. Contritbution of acceleration included in "Data Process".</t>
  </si>
  <si>
    <t>Vout Interference (u_Vinterfer)</t>
  </si>
  <si>
    <t>Time Constant Effect (u_tau)</t>
  </si>
  <si>
    <t>Documented but not Included. Contritbution still required to be quantified.</t>
  </si>
  <si>
    <t>Drift, measuring mode DC (Long) (u_Drift-DC)</t>
  </si>
  <si>
    <t>Mounting Pressure Transducer (MPt)</t>
  </si>
  <si>
    <t>Cables</t>
  </si>
  <si>
    <t>Linearity (u_PtLin)</t>
  </si>
  <si>
    <t>Acceleration Sensitivity (u_ASax)</t>
  </si>
  <si>
    <t>Hysteresis (u_PtHyst)</t>
  </si>
  <si>
    <t>[pC/bar]</t>
  </si>
  <si>
    <t>Normal</t>
  </si>
  <si>
    <t>∆Pmax</t>
  </si>
  <si>
    <t>[bar / (pC/bar)]</t>
  </si>
  <si>
    <t>7061B_Customer_931538_07Oct2024T1157_Cal</t>
  </si>
  <si>
    <t>Uniform</t>
  </si>
  <si>
    <t>Sensitivity Calibration Uncertainty (u_PtCalib)</t>
  </si>
  <si>
    <t>Based on datasheet in function of  ∆Pmax</t>
  </si>
  <si>
    <t>Datasheet 7061B</t>
  </si>
  <si>
    <t>Standard Uncertainty u</t>
  </si>
  <si>
    <t>Expanded Uncertainty U (k = 2)</t>
  </si>
  <si>
    <t>Measurand</t>
  </si>
  <si>
    <t>Range</t>
  </si>
  <si>
    <t>[pC]</t>
  </si>
  <si>
    <t>7061B_Customer_931538_07Oct2024T1157_Cal + Nominal Value of sensitivity from Datasheet 7061B</t>
  </si>
  <si>
    <t>Amplifier Gain (u_GCamp)</t>
  </si>
  <si>
    <t>Settings</t>
  </si>
  <si>
    <t>[V]</t>
  </si>
  <si>
    <t>This migh be neglect considering the short duration of a peak pressure.</t>
  </si>
  <si>
    <t>[V/pC]</t>
  </si>
  <si>
    <t>[bar pC/V]</t>
  </si>
  <si>
    <t>Vout</t>
  </si>
  <si>
    <t>Qin</t>
  </si>
  <si>
    <t>Typical mVpp</t>
  </si>
  <si>
    <t>Max mVpp</t>
  </si>
  <si>
    <t>[1/pC]</t>
  </si>
  <si>
    <t>Charge Range Lower Bound (pC)</t>
  </si>
  <si>
    <t>[V/pC^2]</t>
  </si>
  <si>
    <t>Logger Resolution (u_DAQresol)</t>
  </si>
  <si>
    <t>u_VDAQ</t>
  </si>
  <si>
    <t>[bar/V]</t>
  </si>
  <si>
    <t>u_DAQRangeError</t>
  </si>
  <si>
    <t>u_DAQoffsetDrift</t>
  </si>
  <si>
    <t>uDAQcalib</t>
  </si>
  <si>
    <t>[Bit]</t>
  </si>
  <si>
    <t>This migh be neglect if autocalibration performed.</t>
  </si>
  <si>
    <t>Index (Variance) [%]</t>
  </si>
  <si>
    <t>u_PtCalib</t>
  </si>
  <si>
    <t>u_PtLin</t>
  </si>
  <si>
    <t>u_SS</t>
  </si>
  <si>
    <t>u_TS</t>
  </si>
  <si>
    <t>u_Gcamp</t>
  </si>
  <si>
    <t>Relative Expanded Uncertainty U (k = 2)</t>
  </si>
  <si>
    <r>
      <t xml:space="preserve">The calibration is not accredited, which means the stated uncertainty corresponds to the Calibration and Measurement Capability (CMC). The CMC is derived from the combined measurement uncertainty of the calibration system, multiplied by a coverage factor ( k = 2 ). The CMC values are valid at the end of the calibration range, with a coverage probability of 95 %, as specified in the calibration certificate. </t>
    </r>
    <r>
      <rPr>
        <b/>
        <sz val="12"/>
        <color rgb="FFC00000"/>
        <rFont val="Arial"/>
        <family val="2"/>
      </rPr>
      <t>Action:The reported CMC values will be used and converted to \textbf{standard uncertainties} by dividing by the coverage factor (k = 2). While this approach might slightly \textit{underestimate the contribution}, there is sufficient confidence that calibration uncertainty \textit{will not be a dominant factor} in the overall uncertainty budget. Further analysismay be necessary to confirm this assumption.</t>
    </r>
  </si>
  <si>
    <r>
      <t xml:space="preserve">Linearity, All ranges(cooled), This components is better to be extracted from
calibration certificate for the appropriated range for each sensor. </t>
    </r>
    <r>
      <rPr>
        <b/>
        <sz val="12"/>
        <color rgb="FFC00000"/>
        <rFont val="Arial"/>
        <family val="2"/>
      </rPr>
      <t>Action: Do not include this component from sensor data-sheet in the budget, instead allocate this contribution from calibration certificate for each individual pressure transducer.</t>
    </r>
    <r>
      <rPr>
        <b/>
        <sz val="12"/>
        <color theme="1"/>
        <rFont val="Arial"/>
        <family val="2"/>
      </rPr>
      <t xml:space="preserve"> </t>
    </r>
    <r>
      <rPr>
        <sz val="12"/>
        <color theme="1"/>
        <rFont val="Arial"/>
        <family val="2"/>
      </rPr>
      <t>It is important to keep the sensor with a water flow temperature that is inside of the recommended range from manufacturer 50 ± 35◦C.</t>
    </r>
  </si>
  <si>
    <r>
      <rPr>
        <b/>
        <sz val="12"/>
        <color rgb="FFC00000"/>
        <rFont val="Arial"/>
        <family val="2"/>
      </rPr>
      <t xml:space="preserve">Documented but not Included.Contritbution still required to be quantified. </t>
    </r>
    <r>
      <rPr>
        <sz val="12"/>
        <color theme="1"/>
        <rFont val="Arial"/>
        <family val="2"/>
      </rPr>
      <t xml:space="preserve">According to E. H. Higham and J. M. Paros in CH14 Measurement of Pressure (page 154 on "Quartz Electrostatic Pressure Sensors") "Sensors such as these are characterized by their high stability, wide dynamic range, good temperature stability, good linearity, </t>
    </r>
    <r>
      <rPr>
        <b/>
        <sz val="12"/>
        <color rgb="FFC00000"/>
        <rFont val="Arial"/>
        <family val="2"/>
      </rPr>
      <t xml:space="preserve">and low hysteresis. </t>
    </r>
    <r>
      <rPr>
        <sz val="12"/>
        <color theme="1"/>
        <rFont val="Arial"/>
        <family val="2"/>
      </rPr>
      <t>" Book "Instrumentation Reference Book (Fourth Edition)" (2010)</t>
    </r>
  </si>
  <si>
    <t>Ok</t>
  </si>
  <si>
    <t>Not Included</t>
  </si>
  <si>
    <t>This is a valid estimation of G_Camp  based on the available information. However the following aspects should be considered: Assuming that the software scaling factor (0.20 bar/V) directly relates to the amplifier gain, which may not always be true.
The actual gain of the amplifier should be defined by the charge-to-voltage conversion (V/pC) rather than a pressure-based scaling factor.
The software setting (0.20 bar/V) is likely an overall system calibration factor, not the raw amplifier gain.</t>
  </si>
  <si>
    <r>
      <t xml:space="preserve">This approach assumes that the scaling factor accounts for the charge-to-voltage conversion performed by the amplifier. </t>
    </r>
    <r>
      <rPr>
        <b/>
        <sz val="11"/>
        <color rgb="FFC00000"/>
        <rFont val="Arial"/>
        <family val="2"/>
      </rPr>
      <t>However, a dedicated calibration of the charge amplifier is required to verify this assumption and refine the uncertainty quantification.</t>
    </r>
  </si>
  <si>
    <t>Voltage Output Interference</t>
  </si>
  <si>
    <t>Charge Range Uncertainty</t>
  </si>
  <si>
    <t>uDAQinputNoise</t>
  </si>
  <si>
    <t>u_DAQoffsetError</t>
  </si>
  <si>
    <t>Uniform (Half-width)</t>
  </si>
  <si>
    <t>[Vpp]</t>
  </si>
  <si>
    <t>Pressure Transducer Calibration Uncertainty</t>
  </si>
  <si>
    <t>Pressure Transducer Linearity</t>
  </si>
  <si>
    <t>Pressure Transducer Sensitivity Shift</t>
  </si>
  <si>
    <t>Pressure Transducer ThermoShock</t>
  </si>
  <si>
    <t>Charge Amplifier Gain</t>
  </si>
  <si>
    <t>DAQ-System (datalogger)</t>
  </si>
  <si>
    <t>[kPa]</t>
  </si>
  <si>
    <t>Check</t>
  </si>
  <si>
    <t>Please do not add or remove columns or rows in this worksheet. Otherwise will make the makro to fail.</t>
  </si>
  <si>
    <t>Pt-Calibration Pressure Range - 1</t>
  </si>
  <si>
    <t>Pt-Calibration Pressure Range - 2</t>
  </si>
  <si>
    <t xml:space="preserve"> It is important to keep the sensor with a water flow temperature that is inside of the recommended range from manufacturer 50 ± 35◦C.</t>
  </si>
  <si>
    <t>DAQ System (Data Logger) u_VDAQ</t>
  </si>
  <si>
    <t>DAQ System (Data Logger)</t>
  </si>
  <si>
    <t>Gain Calibration (u_CampCalib)</t>
  </si>
  <si>
    <t>Linearity (u_CampLin)</t>
  </si>
  <si>
    <t>Charge Range (u_Qrange)</t>
  </si>
  <si>
    <t>Pressure Transducer Sensitivty (S_Pt)</t>
  </si>
  <si>
    <t>u_SPt</t>
  </si>
  <si>
    <t xml:space="preserve">Amplitud Resolution </t>
  </si>
  <si>
    <t>Pressure Transducer (Pt)-Calibration</t>
  </si>
  <si>
    <t>Charge Amplifier - Voltage Output Interference (Datasheet Info)</t>
  </si>
  <si>
    <t>Certificates &amp; Datasheet Information</t>
  </si>
  <si>
    <t>Input</t>
  </si>
  <si>
    <r>
      <t xml:space="preserve">∆Pmax </t>
    </r>
    <r>
      <rPr>
        <sz val="16"/>
        <color rgb="FF3F3F3F"/>
        <rFont val="Arial"/>
        <family val="2"/>
      </rPr>
      <t>(Estimated ∆Pmax within the calibrated range of 2.5 [bar] at 50 °C)</t>
    </r>
  </si>
  <si>
    <t>Results</t>
  </si>
  <si>
    <t>Change ranges and linearity % based on the calibration results.</t>
  </si>
  <si>
    <t xml:space="preserve">Calibration Range </t>
  </si>
  <si>
    <t xml:space="preserve">Linearity </t>
  </si>
  <si>
    <t>S_Pt Value [pC/bar]</t>
  </si>
  <si>
    <t>Uncertainty [%]</t>
  </si>
  <si>
    <t>Sensitivity Shift (SS)</t>
  </si>
  <si>
    <t>Sensitivity Calibration Uncertainty (S_Pt)</t>
  </si>
  <si>
    <t>Thermo Shock (TS)</t>
  </si>
  <si>
    <t>[mV]</t>
  </si>
  <si>
    <t>Status</t>
  </si>
  <si>
    <t>i</t>
  </si>
  <si>
    <t>Quantity</t>
  </si>
  <si>
    <t>Value (xi)</t>
  </si>
  <si>
    <t>Dispersion (𝛿xi)</t>
  </si>
  <si>
    <t>Distribution</t>
  </si>
  <si>
    <t>Divisor</t>
  </si>
  <si>
    <t>Standard Uncertainty u(xi)</t>
  </si>
  <si>
    <t>Sensitivity Coefficient ci</t>
  </si>
  <si>
    <t>Uncertainty Contribution ci*ui</t>
  </si>
  <si>
    <t>"Index" (Variance) (ci*ui / uc)^2</t>
  </si>
  <si>
    <t>Certificate Number / Equipment Datasheet</t>
  </si>
  <si>
    <t>Charge Amplifier Resolution (u_Qresol)</t>
  </si>
  <si>
    <t>Assumed maximum after autocalibration</t>
  </si>
  <si>
    <t>Expected ∆Pmax</t>
  </si>
  <si>
    <t xml:space="preserve">Expected DAQ - Voltage Reading </t>
  </si>
  <si>
    <t>Calibration Range Check</t>
  </si>
  <si>
    <t>Amplifier Pressure Range</t>
  </si>
  <si>
    <t xml:space="preserve">Estimated ∆Pmax  </t>
  </si>
  <si>
    <t>Selected Pressure Range</t>
  </si>
  <si>
    <t>Selected Voltage Range</t>
  </si>
  <si>
    <t>Calculated Scaling Factor</t>
  </si>
  <si>
    <t>Extimated ∆Pmax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</si>
</sst>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0"/>
    <numFmt numFmtId="166" formatCode="0.0"/>
    <numFmt numFmtId="167" formatCode="##0.0E+00"/>
    <numFmt numFmtId="168" formatCode="0.0E+00"/>
  </numFmts>
  <fonts count="43">
    <font>
      <sz val="11"/>
      <color theme="1"/>
      <name val="Calibri"/>
      <family val="2"/>
      <scheme val="minor"/>
    </font>
    <font>
      <sz val="11"/>
      <color rgb="FFC00000"/>
      <name val="Arial"/>
      <family val="2"/>
    </font>
    <font>
      <sz val="11"/>
      <color rgb="FFE06B0A"/>
      <name val="Arial"/>
      <family val="2"/>
    </font>
    <font>
      <sz val="11"/>
      <color theme="0"/>
      <name val="Arial"/>
      <family val="2"/>
    </font>
    <font>
      <sz val="11"/>
      <color rgb="FF006100"/>
      <name val="Arial"/>
      <family val="2"/>
    </font>
    <font>
      <sz val="11"/>
      <color rgb="FF3F3F76"/>
      <name val="Arial"/>
      <family val="2"/>
    </font>
    <font>
      <sz val="11"/>
      <color rgb="FF9C5700"/>
      <name val="Arial"/>
      <family val="2"/>
    </font>
    <font>
      <sz val="11"/>
      <color theme="1"/>
      <name val="Arial"/>
      <family val="2"/>
    </font>
    <font>
      <sz val="11"/>
      <color rgb="FF3F3F3F"/>
      <name val="Arial"/>
      <family val="2"/>
    </font>
    <font>
      <sz val="11"/>
      <color rgb="FFFF0000"/>
      <name val="Arial"/>
      <family val="2"/>
    </font>
    <font>
      <sz val="11"/>
      <color rgb="FFFFFFAB"/>
      <name val="Arial"/>
      <family val="2"/>
    </font>
    <font>
      <sz val="11"/>
      <color theme="1"/>
      <name val="Calibri"/>
      <family val="2"/>
      <scheme val="minor"/>
    </font>
    <font>
      <sz val="14"/>
      <color rgb="FF3F3F3F"/>
      <name val="Arial"/>
      <family val="2"/>
    </font>
    <font>
      <sz val="16"/>
      <color rgb="FF3F3F3F"/>
      <name val="Arial"/>
      <family val="2"/>
    </font>
    <font>
      <sz val="12"/>
      <color theme="1"/>
      <name val="Arial"/>
      <family val="2"/>
    </font>
    <font>
      <b/>
      <sz val="11"/>
      <color rgb="FF3F3F3F"/>
      <name val="Arial"/>
      <family val="2"/>
    </font>
    <font>
      <b/>
      <sz val="16"/>
      <color rgb="FF3F3F3F"/>
      <name val="Arial"/>
      <family val="2"/>
    </font>
    <font>
      <b/>
      <sz val="18"/>
      <color rgb="FF3F3F3F"/>
      <name val="Arial"/>
      <family val="2"/>
    </font>
    <font>
      <b/>
      <sz val="12"/>
      <color theme="1"/>
      <name val="Arial"/>
      <family val="2"/>
    </font>
    <font>
      <sz val="12"/>
      <color rgb="FF3F3F3F"/>
      <name val="Arial"/>
      <family val="2"/>
    </font>
    <font>
      <sz val="14"/>
      <color rgb="FF9C5700"/>
      <name val="Arial"/>
      <family val="2"/>
    </font>
    <font>
      <b/>
      <sz val="11"/>
      <color rgb="FFC00000"/>
      <name val="Arial"/>
      <family val="2"/>
    </font>
    <font>
      <sz val="18"/>
      <color rgb="FFC00000"/>
      <name val="Arial"/>
      <family val="2"/>
    </font>
    <font>
      <sz val="16"/>
      <color rgb="FFE06B0A"/>
      <name val="Arial"/>
      <family val="2"/>
    </font>
    <font>
      <sz val="12"/>
      <color rgb="FF3F3F76"/>
      <name val="Arial"/>
      <family val="2"/>
    </font>
    <font>
      <sz val="12"/>
      <color rgb="FFC00000"/>
      <name val="Arial"/>
      <family val="2"/>
    </font>
    <font>
      <sz val="20"/>
      <color rgb="FF3F3F76"/>
      <name val="Arial"/>
      <family val="2"/>
    </font>
    <font>
      <sz val="18"/>
      <color rgb="FFFF0000"/>
      <name val="Arial"/>
      <family val="2"/>
    </font>
    <font>
      <b/>
      <sz val="16"/>
      <color rgb="FF000000"/>
      <name val="Arial"/>
      <family val="34"/>
    </font>
    <font>
      <sz val="16"/>
      <color rgb="FF000000"/>
      <name val="Arial"/>
      <family val="34"/>
    </font>
    <font>
      <sz val="16"/>
      <color rgb="FFFF0000"/>
      <name val="Arial"/>
      <family val="34"/>
    </font>
    <font>
      <b/>
      <sz val="12"/>
      <color rgb="FFC00000"/>
      <name val="Arial"/>
      <family val="2"/>
    </font>
    <font>
      <b/>
      <sz val="16"/>
      <color rgb="FF006100"/>
      <name val="Arial"/>
      <family val="2"/>
    </font>
    <font>
      <b/>
      <sz val="14"/>
      <color rgb="FF3F3F76"/>
      <name val="Arial"/>
      <family val="2"/>
    </font>
    <font>
      <b/>
      <sz val="18"/>
      <color rgb="FF006100"/>
      <name val="Arial"/>
      <family val="2"/>
    </font>
    <font>
      <sz val="14"/>
      <color rgb="FF000000"/>
      <name val="ArialMT"/>
    </font>
    <font>
      <b/>
      <sz val="16"/>
      <color rgb="FF3F3F76"/>
      <name val="Arial"/>
      <family val="2"/>
    </font>
    <font>
      <sz val="20"/>
      <color theme="1"/>
      <name val="Arial"/>
      <family val="2"/>
    </font>
    <font>
      <b/>
      <sz val="20"/>
      <color rgb="FF3F3F3F"/>
      <name val="Arial"/>
      <family val="2"/>
    </font>
    <font>
      <sz val="10"/>
      <color rgb="FF000000"/>
      <name val="Tahoma"/>
      <family val="2"/>
    </font>
    <font>
      <b/>
      <sz val="24"/>
      <color rgb="FF3F3F76"/>
      <name val="Arial"/>
      <family val="2"/>
    </font>
    <font>
      <b/>
      <sz val="16"/>
      <color rgb="FFE06B0A"/>
      <name val="Arial"/>
      <family val="2"/>
    </font>
    <font>
      <b/>
      <sz val="14"/>
      <color rgb="FF3F3F3F"/>
      <name val="Arial"/>
      <family val="2"/>
    </font>
  </fonts>
  <fills count="13">
    <fill>
      <patternFill patternType="none"/>
    </fill>
    <fill>
      <patternFill patternType="gray125"/>
    </fill>
    <fill>
      <patternFill patternType="solid">
        <fgColor rgb="FFFFCC99"/>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rgb="FFC0C0C0"/>
        <bgColor indexed="64"/>
      </patternFill>
    </fill>
    <fill>
      <patternFill patternType="solid">
        <fgColor rgb="FF99CCFF"/>
        <bgColor indexed="64"/>
      </patternFill>
    </fill>
    <fill>
      <patternFill patternType="solid">
        <fgColor rgb="FFFFDB69"/>
        <bgColor indexed="64"/>
      </patternFill>
    </fill>
    <fill>
      <patternFill patternType="solid">
        <fgColor theme="0"/>
        <bgColor indexed="64"/>
      </patternFill>
    </fill>
  </fills>
  <borders count="3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C00000"/>
      </left>
      <right style="thin">
        <color rgb="FFC00000"/>
      </right>
      <top style="thin">
        <color rgb="FFC00000"/>
      </top>
      <bottom style="thin">
        <color rgb="FFC00000"/>
      </bottom>
      <diagonal/>
    </border>
    <border>
      <left style="thin">
        <color rgb="FF006100"/>
      </left>
      <right style="thin">
        <color rgb="FF006100"/>
      </right>
      <top style="thin">
        <color rgb="FF006100"/>
      </top>
      <bottom style="thin">
        <color rgb="FF006100"/>
      </bottom>
      <diagonal/>
    </border>
    <border>
      <left style="thin">
        <color theme="1" tint="0.499984740745262"/>
      </left>
      <right style="thin">
        <color rgb="FF7F7F7F"/>
      </right>
      <top style="thin">
        <color rgb="FF7F7F7F"/>
      </top>
      <bottom style="thin">
        <color rgb="FF7F7F7F"/>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1" tint="0.499984740745262"/>
      </left>
      <right style="thin">
        <color rgb="FF7F7F7F"/>
      </right>
      <top/>
      <bottom style="thin">
        <color rgb="FF7F7F7F"/>
      </bottom>
      <diagonal/>
    </border>
    <border>
      <left style="thin">
        <color theme="1" tint="0.499984740745262"/>
      </left>
      <right style="thin">
        <color theme="1" tint="0.499984740745262"/>
      </right>
      <top/>
      <bottom style="thin">
        <color rgb="FF7F7F7F"/>
      </bottom>
      <diagonal/>
    </border>
    <border>
      <left style="thin">
        <color theme="1" tint="0.499984740745262"/>
      </left>
      <right/>
      <top/>
      <bottom style="thin">
        <color rgb="FFC00000"/>
      </bottom>
      <diagonal/>
    </border>
    <border>
      <left/>
      <right style="thin">
        <color theme="1" tint="0.499984740745262"/>
      </right>
      <top/>
      <bottom style="thin">
        <color rgb="FFC00000"/>
      </bottom>
      <diagonal/>
    </border>
    <border>
      <left style="thin">
        <color rgb="FF006100"/>
      </left>
      <right style="thin">
        <color rgb="FF006100"/>
      </right>
      <top/>
      <bottom style="thin">
        <color rgb="FF006100"/>
      </bottom>
      <diagonal/>
    </border>
    <border>
      <left style="thin">
        <color theme="1" tint="0.499984740745262"/>
      </left>
      <right style="thin">
        <color rgb="FF7F7F7F"/>
      </right>
      <top style="thin">
        <color rgb="FF7F7F7F"/>
      </top>
      <bottom style="thin">
        <color theme="1" tint="0.499984740745262"/>
      </bottom>
      <diagonal/>
    </border>
    <border>
      <left style="thin">
        <color theme="1" tint="0.499984740745262"/>
      </left>
      <right style="thin">
        <color theme="1" tint="0.499984740745262"/>
      </right>
      <top style="thin">
        <color rgb="FF7F7F7F"/>
      </top>
      <bottom style="thin">
        <color rgb="FF7F7F7F"/>
      </bottom>
      <diagonal/>
    </border>
    <border>
      <left style="thin">
        <color theme="1" tint="0.499984740745262"/>
      </left>
      <right style="thin">
        <color theme="1" tint="0.499984740745262"/>
      </right>
      <top style="thin">
        <color rgb="FF7F7F7F"/>
      </top>
      <bottom style="thin">
        <color theme="1" tint="0.499984740745262"/>
      </bottom>
      <diagonal/>
    </border>
    <border>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style="thin">
        <color theme="1" tint="0.499984740745262"/>
      </bottom>
      <diagonal/>
    </border>
  </borders>
  <cellStyleXfs count="24">
    <xf numFmtId="0" fontId="0" fillId="0" borderId="0"/>
    <xf numFmtId="0" fontId="5" fillId="2" borderId="1" applyNumberFormat="0" applyAlignment="0" applyProtection="0"/>
    <xf numFmtId="0" fontId="4" fillId="3" borderId="4" applyNumberFormat="0" applyAlignment="0" applyProtection="0"/>
    <xf numFmtId="0" fontId="6" fillId="5" borderId="6" applyNumberFormat="0" applyAlignment="0" applyProtection="0"/>
    <xf numFmtId="0" fontId="8" fillId="6" borderId="2" applyNumberFormat="0" applyAlignment="0" applyProtection="0"/>
    <xf numFmtId="0" fontId="2" fillId="6" borderId="1" applyNumberFormat="0" applyAlignment="0" applyProtection="0"/>
    <xf numFmtId="0" fontId="3" fillId="7" borderId="2" applyNumberFormat="0" applyAlignment="0" applyProtection="0"/>
    <xf numFmtId="0" fontId="9" fillId="0" borderId="0" applyNumberFormat="0" applyFill="0" applyBorder="0" applyAlignment="0" applyProtection="0"/>
    <xf numFmtId="0" fontId="7" fillId="8" borderId="6" applyNumberFormat="0" applyAlignment="0" applyProtection="0"/>
    <xf numFmtId="0" fontId="1" fillId="4" borderId="3" applyAlignment="0" applyProtection="0"/>
    <xf numFmtId="48" fontId="2" fillId="6" borderId="1" applyAlignment="0" applyProtection="0"/>
    <xf numFmtId="0" fontId="3" fillId="7" borderId="6" applyAlignment="0" applyProtection="0"/>
    <xf numFmtId="11" fontId="5" fillId="2" borderId="5" applyAlignment="0" applyProtection="0"/>
    <xf numFmtId="0" fontId="6" fillId="5" borderId="6" applyAlignment="0" applyProtection="0"/>
    <xf numFmtId="0" fontId="7" fillId="0" borderId="0"/>
    <xf numFmtId="0" fontId="7" fillId="8" borderId="6" applyAlignment="0" applyProtection="0"/>
    <xf numFmtId="48" fontId="8" fillId="6" borderId="6" applyAlignment="0" applyProtection="0"/>
    <xf numFmtId="48" fontId="10" fillId="9" borderId="1" applyAlignment="0" applyProtection="0"/>
    <xf numFmtId="0" fontId="4" fillId="3" borderId="4" applyAlignment="0" applyProtection="0"/>
    <xf numFmtId="0" fontId="5" fillId="10" borderId="6">
      <alignment horizontal="center" vertical="center"/>
    </xf>
    <xf numFmtId="0" fontId="5" fillId="11" borderId="6">
      <alignment horizontal="center" vertical="center"/>
    </xf>
    <xf numFmtId="0" fontId="9" fillId="0" borderId="0" applyFill="0" applyBorder="0" applyAlignment="0" applyProtection="0"/>
    <xf numFmtId="9" fontId="11" fillId="0" borderId="0" applyFont="0" applyFill="0" applyBorder="0" applyAlignment="0" applyProtection="0"/>
    <xf numFmtId="48" fontId="8" fillId="12" borderId="6" applyAlignment="0">
      <alignment horizontal="left" vertical="center"/>
    </xf>
  </cellStyleXfs>
  <cellXfs count="135">
    <xf numFmtId="0" fontId="0" fillId="0" borderId="0" xfId="0"/>
    <xf numFmtId="0" fontId="7" fillId="0" borderId="0" xfId="14"/>
    <xf numFmtId="0" fontId="7" fillId="0" borderId="0" xfId="0" applyFont="1" applyAlignment="1">
      <alignment vertical="center"/>
    </xf>
    <xf numFmtId="164" fontId="5" fillId="2" borderId="5" xfId="12" applyNumberFormat="1" applyAlignment="1">
      <alignment vertical="center"/>
    </xf>
    <xf numFmtId="0" fontId="7" fillId="0" borderId="0" xfId="14" applyAlignment="1">
      <alignment vertical="center"/>
    </xf>
    <xf numFmtId="0" fontId="7" fillId="0" borderId="0" xfId="0" applyFont="1" applyAlignment="1">
      <alignment horizontal="center" vertical="center"/>
    </xf>
    <xf numFmtId="48" fontId="16" fillId="12" borderId="10" xfId="16" applyFont="1" applyFill="1" applyBorder="1" applyAlignment="1">
      <alignment horizontal="center" vertical="center"/>
    </xf>
    <xf numFmtId="48" fontId="16" fillId="12" borderId="6" xfId="16" applyFont="1" applyFill="1" applyAlignment="1">
      <alignment horizontal="center" vertical="center"/>
    </xf>
    <xf numFmtId="0" fontId="15" fillId="6" borderId="6" xfId="16" applyNumberFormat="1" applyFont="1" applyAlignment="1">
      <alignment horizontal="center" vertical="center"/>
    </xf>
    <xf numFmtId="166" fontId="22" fillId="4" borderId="3" xfId="9" applyNumberFormat="1" applyFont="1" applyAlignment="1">
      <alignment horizontal="center" vertical="center"/>
    </xf>
    <xf numFmtId="48" fontId="8" fillId="6" borderId="6" xfId="16" applyAlignment="1">
      <alignment horizontal="center" vertical="center" wrapText="1"/>
    </xf>
    <xf numFmtId="164" fontId="23" fillId="6" borderId="1" xfId="10" applyNumberFormat="1" applyFont="1" applyAlignment="1">
      <alignment horizontal="center" vertical="center"/>
    </xf>
    <xf numFmtId="0" fontId="7" fillId="0" borderId="0" xfId="14" applyAlignment="1">
      <alignment horizontal="center" vertical="center"/>
    </xf>
    <xf numFmtId="0" fontId="5" fillId="2" borderId="5" xfId="12" applyNumberFormat="1" applyAlignment="1">
      <alignment horizontal="center" vertical="center"/>
    </xf>
    <xf numFmtId="48" fontId="8" fillId="12" borderId="6" xfId="23" applyAlignment="1">
      <alignment horizontal="center" vertical="center"/>
    </xf>
    <xf numFmtId="0" fontId="7" fillId="8" borderId="6" xfId="15" applyAlignment="1">
      <alignment horizontal="center" vertical="center"/>
    </xf>
    <xf numFmtId="48" fontId="8" fillId="12" borderId="6" xfId="16" applyFill="1" applyAlignment="1">
      <alignment horizontal="center" vertical="center"/>
    </xf>
    <xf numFmtId="0" fontId="4" fillId="3" borderId="4" xfId="18" applyAlignment="1">
      <alignment horizontal="center" vertical="center"/>
    </xf>
    <xf numFmtId="48" fontId="2" fillId="6" borderId="1" xfId="10" applyAlignment="1">
      <alignment horizontal="center" vertical="center"/>
    </xf>
    <xf numFmtId="167" fontId="2" fillId="6" borderId="1" xfId="10" applyNumberFormat="1" applyAlignment="1">
      <alignment horizontal="center" vertical="center"/>
    </xf>
    <xf numFmtId="0" fontId="1" fillId="4" borderId="3" xfId="9" applyAlignment="1">
      <alignment horizontal="center" vertical="center"/>
    </xf>
    <xf numFmtId="2" fontId="27" fillId="12" borderId="6" xfId="21" applyNumberFormat="1" applyFont="1" applyFill="1" applyBorder="1" applyAlignment="1">
      <alignment horizontal="center" vertical="center"/>
    </xf>
    <xf numFmtId="2" fontId="23" fillId="6" borderId="1" xfId="10" applyNumberFormat="1" applyFont="1" applyAlignment="1">
      <alignment horizontal="center" vertical="center"/>
    </xf>
    <xf numFmtId="165" fontId="23" fillId="6" borderId="1" xfId="10" applyNumberFormat="1" applyFont="1" applyAlignment="1">
      <alignment horizontal="center" vertical="center"/>
    </xf>
    <xf numFmtId="48" fontId="13" fillId="6" borderId="6" xfId="16" applyFont="1" applyAlignment="1">
      <alignment horizontal="center" vertical="center"/>
    </xf>
    <xf numFmtId="164" fontId="2" fillId="6" borderId="1" xfId="10" applyNumberFormat="1" applyAlignment="1">
      <alignment horizontal="center" vertical="center"/>
    </xf>
    <xf numFmtId="166" fontId="2" fillId="6" borderId="1" xfId="10" applyNumberFormat="1" applyAlignment="1">
      <alignment horizontal="center" vertical="center"/>
    </xf>
    <xf numFmtId="165" fontId="2" fillId="6" borderId="1" xfId="10" applyNumberFormat="1" applyAlignment="1">
      <alignment horizontal="center" vertical="center"/>
    </xf>
    <xf numFmtId="2" fontId="2" fillId="6" borderId="1" xfId="10" applyNumberFormat="1" applyAlignment="1">
      <alignment horizontal="center" vertical="center"/>
    </xf>
    <xf numFmtId="2" fontId="5" fillId="2" borderId="5" xfId="12" applyNumberFormat="1" applyAlignment="1">
      <alignment horizontal="center" vertical="center"/>
    </xf>
    <xf numFmtId="9" fontId="4" fillId="3" borderId="4" xfId="22" applyFont="1" applyFill="1" applyBorder="1" applyAlignment="1">
      <alignment vertical="center"/>
    </xf>
    <xf numFmtId="9" fontId="34" fillId="3" borderId="4" xfId="22" applyFont="1" applyFill="1" applyBorder="1" applyAlignment="1">
      <alignment horizontal="center" vertical="center"/>
    </xf>
    <xf numFmtId="48" fontId="17" fillId="6" borderId="6" xfId="16" applyFont="1" applyAlignment="1">
      <alignment horizontal="center" vertical="center"/>
    </xf>
    <xf numFmtId="164" fontId="32" fillId="3" borderId="25" xfId="18" applyNumberFormat="1" applyFont="1" applyBorder="1" applyAlignment="1">
      <alignment horizontal="center" vertical="center"/>
    </xf>
    <xf numFmtId="0" fontId="7" fillId="0" borderId="17" xfId="0" applyFont="1" applyBorder="1" applyAlignment="1">
      <alignment horizontal="center" vertical="center"/>
    </xf>
    <xf numFmtId="0" fontId="33" fillId="11" borderId="6" xfId="20" applyFont="1">
      <alignment horizontal="center" vertical="center"/>
    </xf>
    <xf numFmtId="48" fontId="38" fillId="6" borderId="10" xfId="16" applyFont="1" applyBorder="1" applyAlignment="1">
      <alignment horizontal="center" vertical="center" wrapText="1"/>
    </xf>
    <xf numFmtId="48" fontId="38" fillId="6" borderId="6" xfId="16" applyFont="1" applyAlignment="1">
      <alignment horizontal="center" vertical="center" wrapText="1"/>
    </xf>
    <xf numFmtId="0" fontId="25" fillId="4" borderId="3" xfId="9" applyFont="1" applyAlignment="1">
      <alignment horizontal="center" vertical="center"/>
    </xf>
    <xf numFmtId="0" fontId="7" fillId="0" borderId="16" xfId="14" applyBorder="1"/>
    <xf numFmtId="0" fontId="7" fillId="0" borderId="17" xfId="14" applyBorder="1"/>
    <xf numFmtId="0" fontId="5" fillId="2" borderId="27" xfId="12" applyNumberFormat="1" applyBorder="1" applyAlignment="1">
      <alignment horizontal="center" vertical="center"/>
    </xf>
    <xf numFmtId="48" fontId="19" fillId="12" borderId="6" xfId="23" applyFont="1" applyAlignment="1">
      <alignment horizontal="center" vertical="center"/>
    </xf>
    <xf numFmtId="48" fontId="16" fillId="12" borderId="6" xfId="23" applyFont="1" applyAlignment="1">
      <alignment horizontal="center" vertical="center"/>
    </xf>
    <xf numFmtId="0" fontId="7" fillId="0" borderId="18" xfId="14" applyBorder="1" applyAlignment="1">
      <alignment horizontal="center" vertical="center"/>
    </xf>
    <xf numFmtId="48" fontId="12" fillId="12" borderId="9" xfId="23" applyFont="1" applyBorder="1" applyAlignment="1">
      <alignment horizontal="center" vertical="center"/>
    </xf>
    <xf numFmtId="2" fontId="41" fillId="6" borderId="1" xfId="10" applyNumberFormat="1" applyFont="1" applyAlignment="1">
      <alignment horizontal="center" vertical="center"/>
    </xf>
    <xf numFmtId="48" fontId="12" fillId="12" borderId="6" xfId="23" applyFont="1" applyAlignment="1">
      <alignment horizontal="center" vertical="center"/>
    </xf>
    <xf numFmtId="166" fontId="41" fillId="6" borderId="1" xfId="10" applyNumberFormat="1" applyFont="1" applyAlignment="1">
      <alignment horizontal="center" vertical="center"/>
    </xf>
    <xf numFmtId="48" fontId="8" fillId="12" borderId="9" xfId="23" applyBorder="1" applyAlignment="1">
      <alignment horizontal="center" vertical="center"/>
    </xf>
    <xf numFmtId="0" fontId="5" fillId="2" borderId="21" xfId="12" applyNumberFormat="1" applyBorder="1" applyAlignment="1">
      <alignment horizontal="center" vertical="center"/>
    </xf>
    <xf numFmtId="0" fontId="5" fillId="2" borderId="22" xfId="12" applyNumberFormat="1" applyBorder="1" applyAlignment="1">
      <alignment horizontal="center" vertical="center"/>
    </xf>
    <xf numFmtId="2" fontId="5" fillId="2" borderId="22" xfId="12" applyNumberFormat="1" applyBorder="1" applyAlignment="1">
      <alignment horizontal="center" vertical="center"/>
    </xf>
    <xf numFmtId="48" fontId="8" fillId="12" borderId="6" xfId="23" applyAlignment="1">
      <alignment horizontal="center" vertical="center" wrapText="1"/>
    </xf>
    <xf numFmtId="0" fontId="7" fillId="0" borderId="16" xfId="0" applyFont="1" applyBorder="1" applyAlignment="1">
      <alignment horizontal="center" vertical="center"/>
    </xf>
    <xf numFmtId="0" fontId="5" fillId="2" borderId="26" xfId="12" applyNumberFormat="1" applyBorder="1" applyAlignment="1">
      <alignment horizontal="center" vertical="center"/>
    </xf>
    <xf numFmtId="0" fontId="5" fillId="2" borderId="28" xfId="12" applyNumberFormat="1" applyBorder="1" applyAlignment="1">
      <alignment horizontal="center" vertical="center"/>
    </xf>
    <xf numFmtId="0" fontId="7" fillId="0" borderId="20" xfId="0" applyFont="1" applyBorder="1" applyAlignment="1">
      <alignment horizontal="center" vertical="center"/>
    </xf>
    <xf numFmtId="0" fontId="7" fillId="0" borderId="19" xfId="14" applyBorder="1" applyAlignment="1">
      <alignment horizontal="center" vertical="center"/>
    </xf>
    <xf numFmtId="0" fontId="7" fillId="0" borderId="20" xfId="14" applyBorder="1" applyAlignment="1">
      <alignment horizontal="center" vertical="center"/>
    </xf>
    <xf numFmtId="0" fontId="7" fillId="0" borderId="0" xfId="0" applyFont="1" applyAlignment="1">
      <alignment horizontal="center" vertical="center" wrapText="1"/>
    </xf>
    <xf numFmtId="48" fontId="16" fillId="0" borderId="10" xfId="16" applyFont="1" applyFill="1" applyBorder="1" applyAlignment="1">
      <alignment horizontal="center" vertical="center" wrapText="1"/>
    </xf>
    <xf numFmtId="164" fontId="7" fillId="0" borderId="0" xfId="0" applyNumberFormat="1" applyFont="1" applyAlignment="1">
      <alignment horizontal="center" vertical="center"/>
    </xf>
    <xf numFmtId="0" fontId="37" fillId="0" borderId="0" xfId="0" applyFont="1" applyAlignment="1">
      <alignment horizontal="center" vertical="center" wrapText="1"/>
    </xf>
    <xf numFmtId="0" fontId="7" fillId="8" borderId="6" xfId="15" applyAlignment="1">
      <alignment horizontal="center" vertical="center" wrapText="1"/>
    </xf>
    <xf numFmtId="0" fontId="24" fillId="10" borderId="6" xfId="19" applyFont="1">
      <alignment horizontal="center" vertical="center"/>
    </xf>
    <xf numFmtId="48" fontId="19" fillId="12" borderId="6" xfId="16" applyFont="1" applyFill="1" applyAlignment="1">
      <alignment horizontal="center" vertical="center"/>
    </xf>
    <xf numFmtId="168" fontId="5" fillId="2" borderId="5" xfId="12" applyNumberFormat="1" applyAlignment="1">
      <alignment horizontal="center" vertical="center"/>
    </xf>
    <xf numFmtId="167" fontId="7" fillId="0" borderId="0" xfId="14" applyNumberFormat="1" applyAlignment="1">
      <alignment horizontal="center" vertical="center"/>
    </xf>
    <xf numFmtId="0" fontId="2" fillId="6" borderId="1" xfId="10" applyNumberFormat="1" applyAlignment="1">
      <alignment horizontal="center" vertical="center"/>
    </xf>
    <xf numFmtId="48" fontId="8" fillId="6" borderId="6" xfId="16" applyAlignment="1">
      <alignment horizontal="center" vertical="center"/>
    </xf>
    <xf numFmtId="0" fontId="7" fillId="0" borderId="17" xfId="14" applyBorder="1" applyAlignment="1">
      <alignment horizontal="center" vertical="center"/>
    </xf>
    <xf numFmtId="48" fontId="16" fillId="12" borderId="9" xfId="23" applyFont="1" applyBorder="1" applyAlignment="1">
      <alignment horizontal="left" vertical="center"/>
    </xf>
    <xf numFmtId="0" fontId="7" fillId="0" borderId="16" xfId="14" applyBorder="1" applyAlignment="1">
      <alignment horizontal="center" vertical="center"/>
    </xf>
    <xf numFmtId="0" fontId="5" fillId="2" borderId="29" xfId="12" applyNumberFormat="1" applyBorder="1" applyAlignment="1">
      <alignment horizontal="center" vertical="center"/>
    </xf>
    <xf numFmtId="0" fontId="5" fillId="2" borderId="30" xfId="12" applyNumberFormat="1" applyBorder="1" applyAlignment="1">
      <alignment horizontal="center" vertical="center"/>
    </xf>
    <xf numFmtId="0" fontId="5" fillId="2" borderId="31" xfId="12" applyNumberFormat="1" applyBorder="1" applyAlignment="1">
      <alignment horizontal="center" vertical="center"/>
    </xf>
    <xf numFmtId="48" fontId="42" fillId="6" borderId="6" xfId="16" applyFont="1" applyAlignment="1">
      <alignment horizontal="left" vertical="center" wrapText="1"/>
    </xf>
    <xf numFmtId="48" fontId="42" fillId="6" borderId="6" xfId="16" applyFont="1" applyAlignment="1">
      <alignment horizontal="left" vertical="center"/>
    </xf>
    <xf numFmtId="48" fontId="42" fillId="6" borderId="6" xfId="16" applyFont="1" applyAlignment="1">
      <alignment horizontal="center" vertical="center" wrapText="1"/>
    </xf>
    <xf numFmtId="164" fontId="7" fillId="0" borderId="0" xfId="14" applyNumberFormat="1" applyAlignment="1">
      <alignment horizontal="center" vertical="center"/>
    </xf>
    <xf numFmtId="0" fontId="0" fillId="0" borderId="0" xfId="0" applyAlignment="1">
      <alignment vertical="center"/>
    </xf>
    <xf numFmtId="1" fontId="2" fillId="6" borderId="1" xfId="10" applyNumberFormat="1" applyAlignment="1">
      <alignment horizontal="center" vertical="center"/>
    </xf>
    <xf numFmtId="0" fontId="7" fillId="8" borderId="6" xfId="15" applyAlignment="1">
      <alignment horizontal="center" vertical="center" wrapText="1"/>
    </xf>
    <xf numFmtId="0" fontId="20" fillId="5" borderId="6" xfId="13" applyFont="1" applyAlignment="1">
      <alignment horizontal="center" vertical="center" wrapText="1"/>
    </xf>
    <xf numFmtId="0" fontId="26" fillId="11" borderId="6" xfId="20" applyFont="1">
      <alignment horizontal="center" vertical="center"/>
    </xf>
    <xf numFmtId="0" fontId="21" fillId="8" borderId="6" xfId="15" applyFont="1" applyAlignment="1">
      <alignment horizontal="center" vertical="center" wrapText="1"/>
    </xf>
    <xf numFmtId="48" fontId="42" fillId="6" borderId="7" xfId="16" applyFont="1" applyBorder="1" applyAlignment="1">
      <alignment horizontal="left" vertical="center"/>
    </xf>
    <xf numFmtId="48" fontId="42" fillId="6" borderId="8" xfId="16" applyFont="1" applyBorder="1" applyAlignment="1">
      <alignment horizontal="left" vertical="center"/>
    </xf>
    <xf numFmtId="48" fontId="42" fillId="6" borderId="9" xfId="16" applyFont="1" applyBorder="1" applyAlignment="1">
      <alignment horizontal="left" vertical="center"/>
    </xf>
    <xf numFmtId="48" fontId="38" fillId="6" borderId="6" xfId="16" applyFont="1" applyAlignment="1">
      <alignment horizontal="center" vertical="center" wrapText="1"/>
    </xf>
    <xf numFmtId="0" fontId="7" fillId="8" borderId="6" xfId="15" applyAlignment="1">
      <alignment horizontal="left" vertical="center" wrapText="1"/>
    </xf>
    <xf numFmtId="0" fontId="21" fillId="8" borderId="10" xfId="15" applyFont="1" applyBorder="1" applyAlignment="1">
      <alignment horizontal="center" vertical="center" wrapText="1"/>
    </xf>
    <xf numFmtId="0" fontId="21" fillId="8" borderId="11" xfId="15" applyFont="1" applyBorder="1" applyAlignment="1">
      <alignment horizontal="center" vertical="center" wrapText="1"/>
    </xf>
    <xf numFmtId="0" fontId="21" fillId="8" borderId="12" xfId="15" applyFont="1" applyBorder="1" applyAlignment="1">
      <alignment horizontal="center" vertical="center" wrapText="1"/>
    </xf>
    <xf numFmtId="48" fontId="38" fillId="6" borderId="10" xfId="16" applyFont="1" applyBorder="1" applyAlignment="1">
      <alignment horizontal="center" vertical="center" wrapText="1"/>
    </xf>
    <xf numFmtId="48" fontId="38" fillId="6" borderId="12" xfId="16" applyFont="1" applyBorder="1" applyAlignment="1">
      <alignment horizontal="center" vertical="center" wrapText="1"/>
    </xf>
    <xf numFmtId="0" fontId="36" fillId="11" borderId="12" xfId="20" applyFont="1" applyBorder="1">
      <alignment horizontal="center" vertical="center"/>
    </xf>
    <xf numFmtId="0" fontId="36" fillId="11" borderId="6" xfId="20" applyFont="1">
      <alignment horizontal="center" vertical="center"/>
    </xf>
    <xf numFmtId="0" fontId="9" fillId="8" borderId="13" xfId="21" applyFill="1" applyBorder="1" applyAlignment="1">
      <alignment horizontal="center" vertical="center" wrapText="1"/>
    </xf>
    <xf numFmtId="0" fontId="9" fillId="8" borderId="15" xfId="21" applyFill="1" applyBorder="1" applyAlignment="1">
      <alignment horizontal="center" vertical="center" wrapText="1"/>
    </xf>
    <xf numFmtId="0" fontId="9" fillId="8" borderId="18" xfId="21" applyFill="1" applyBorder="1" applyAlignment="1">
      <alignment horizontal="center" vertical="center" wrapText="1"/>
    </xf>
    <xf numFmtId="0" fontId="9" fillId="8" borderId="20" xfId="21" applyFill="1" applyBorder="1" applyAlignment="1">
      <alignment horizontal="center" vertical="center" wrapText="1"/>
    </xf>
    <xf numFmtId="48" fontId="17" fillId="6" borderId="6" xfId="16" applyFont="1" applyAlignment="1">
      <alignment horizontal="center" vertical="center"/>
    </xf>
    <xf numFmtId="48" fontId="38" fillId="6" borderId="11" xfId="16" applyFont="1" applyBorder="1" applyAlignment="1">
      <alignment horizontal="center" vertical="center" wrapText="1"/>
    </xf>
    <xf numFmtId="48" fontId="17" fillId="6" borderId="10" xfId="16" applyFont="1" applyBorder="1" applyAlignment="1">
      <alignment horizontal="center" vertical="center"/>
    </xf>
    <xf numFmtId="48" fontId="17" fillId="6" borderId="11" xfId="16" applyFont="1" applyBorder="1" applyAlignment="1">
      <alignment horizontal="center" vertical="center"/>
    </xf>
    <xf numFmtId="48" fontId="17" fillId="6" borderId="12" xfId="16" applyFont="1" applyBorder="1" applyAlignment="1">
      <alignment horizontal="center" vertical="center"/>
    </xf>
    <xf numFmtId="0" fontId="9" fillId="8" borderId="7" xfId="21" applyFill="1" applyBorder="1" applyAlignment="1">
      <alignment horizontal="center" vertical="center" wrapText="1"/>
    </xf>
    <xf numFmtId="0" fontId="9" fillId="8" borderId="9" xfId="21" applyFill="1" applyBorder="1" applyAlignment="1">
      <alignment horizontal="center" vertical="center" wrapText="1"/>
    </xf>
    <xf numFmtId="48" fontId="42" fillId="6" borderId="10" xfId="16" applyFont="1" applyBorder="1" applyAlignment="1">
      <alignment horizontal="center" vertical="center" wrapText="1"/>
    </xf>
    <xf numFmtId="48" fontId="42" fillId="6" borderId="12" xfId="16" applyFont="1" applyBorder="1" applyAlignment="1">
      <alignment horizontal="center" vertical="center" wrapText="1"/>
    </xf>
    <xf numFmtId="0" fontId="36" fillId="11" borderId="10" xfId="20" applyFont="1" applyBorder="1">
      <alignment horizontal="center" vertical="center"/>
    </xf>
    <xf numFmtId="0" fontId="36" fillId="11" borderId="11" xfId="20" applyFont="1" applyBorder="1">
      <alignment horizontal="center" vertical="center"/>
    </xf>
    <xf numFmtId="0" fontId="40" fillId="10" borderId="6" xfId="19" applyFont="1">
      <alignment horizontal="center" vertical="center"/>
    </xf>
    <xf numFmtId="0" fontId="7" fillId="0" borderId="0" xfId="0" applyFont="1" applyAlignment="1">
      <alignment horizontal="center" vertical="center"/>
    </xf>
    <xf numFmtId="48" fontId="8" fillId="12" borderId="12" xfId="23" applyBorder="1" applyAlignment="1">
      <alignment horizontal="center" vertical="center" wrapText="1"/>
    </xf>
    <xf numFmtId="48" fontId="42" fillId="6" borderId="10" xfId="16" applyFont="1" applyBorder="1" applyAlignment="1">
      <alignment horizontal="center" vertical="center"/>
    </xf>
    <xf numFmtId="48" fontId="42" fillId="6" borderId="12" xfId="16" applyFont="1" applyBorder="1" applyAlignment="1">
      <alignment horizontal="center" vertical="center"/>
    </xf>
    <xf numFmtId="48" fontId="16" fillId="6" borderId="13" xfId="16" applyFont="1" applyBorder="1" applyAlignment="1">
      <alignment horizontal="center" vertical="center" wrapText="1"/>
    </xf>
    <xf numFmtId="48" fontId="16" fillId="6" borderId="18" xfId="16" applyFont="1" applyBorder="1" applyAlignment="1">
      <alignment horizontal="center" vertical="center" wrapText="1"/>
    </xf>
    <xf numFmtId="48" fontId="16" fillId="6" borderId="6" xfId="16" applyFont="1" applyAlignment="1">
      <alignment horizontal="center" vertical="center" wrapText="1"/>
    </xf>
    <xf numFmtId="48" fontId="16" fillId="6" borderId="14" xfId="16" applyFont="1" applyBorder="1" applyAlignment="1">
      <alignment horizontal="center" vertical="center" wrapText="1"/>
    </xf>
    <xf numFmtId="48" fontId="16" fillId="6" borderId="15" xfId="16" applyFont="1" applyBorder="1" applyAlignment="1">
      <alignment horizontal="center" vertical="center" wrapText="1"/>
    </xf>
    <xf numFmtId="48" fontId="16" fillId="6" borderId="0" xfId="16" applyFont="1" applyBorder="1" applyAlignment="1">
      <alignment horizontal="center" vertical="center" wrapText="1"/>
    </xf>
    <xf numFmtId="48" fontId="16" fillId="6" borderId="17" xfId="16" applyFont="1" applyBorder="1" applyAlignment="1">
      <alignment horizontal="center" vertical="center" wrapText="1"/>
    </xf>
    <xf numFmtId="48" fontId="16" fillId="6" borderId="23" xfId="16" applyFont="1" applyBorder="1" applyAlignment="1">
      <alignment horizontal="center" vertical="center" wrapText="1"/>
    </xf>
    <xf numFmtId="48" fontId="16" fillId="6" borderId="24" xfId="16" applyFont="1" applyBorder="1" applyAlignment="1">
      <alignment horizontal="center" vertical="center" wrapText="1"/>
    </xf>
    <xf numFmtId="0" fontId="7" fillId="8" borderId="10" xfId="15" applyBorder="1" applyAlignment="1">
      <alignment horizontal="left" vertical="center"/>
    </xf>
    <xf numFmtId="0" fontId="7" fillId="8" borderId="12" xfId="15" applyBorder="1" applyAlignment="1">
      <alignment horizontal="left" vertical="center"/>
    </xf>
    <xf numFmtId="48" fontId="15" fillId="6" borderId="6" xfId="16" applyFont="1" applyAlignment="1">
      <alignment horizontal="center" vertical="center" wrapText="1"/>
    </xf>
    <xf numFmtId="48" fontId="16" fillId="0" borderId="7" xfId="16" applyFont="1" applyFill="1" applyBorder="1" applyAlignment="1">
      <alignment horizontal="center" vertical="center"/>
    </xf>
    <xf numFmtId="48" fontId="16" fillId="0" borderId="22" xfId="16" applyFont="1" applyFill="1" applyBorder="1" applyAlignment="1">
      <alignment horizontal="center" vertical="center"/>
    </xf>
    <xf numFmtId="0" fontId="1" fillId="4" borderId="3" xfId="9" applyAlignment="1">
      <alignment horizontal="center" vertical="center" wrapText="1"/>
    </xf>
    <xf numFmtId="0" fontId="7" fillId="0" borderId="0" xfId="14" applyAlignment="1"/>
  </cellXfs>
  <cellStyles count="24">
    <cellStyle name="Bad EMP2X" xfId="9" xr:uid="{199BAAAA-D5FC-452B-A851-CAE7F3577747}"/>
    <cellStyle name="Calculation" xfId="5" builtinId="22" customBuiltin="1"/>
    <cellStyle name="Calculation EMP2X-1" xfId="10" xr:uid="{B151DA90-3EE4-485D-924F-CEBAF77B79E2}"/>
    <cellStyle name="Calculation EMP2X-2" xfId="17" xr:uid="{BD4FD6C8-78E0-4FF1-BD04-CE51D11C4676}"/>
    <cellStyle name="Check Cell" xfId="6" builtinId="23" customBuiltin="1"/>
    <cellStyle name="Check Cell EMP2X" xfId="11" xr:uid="{B620B033-22AB-4B10-9959-D7BD9C22DEA8}"/>
    <cellStyle name="DUT-EMP2X" xfId="19" xr:uid="{787F26CE-033B-4F35-9C2B-4423E2C4649C}"/>
    <cellStyle name="Good" xfId="2" builtinId="26" customBuiltin="1"/>
    <cellStyle name="Good EMP2X" xfId="18" xr:uid="{BD7420EC-A929-4069-99BF-D840A1870CA7}"/>
    <cellStyle name="Input" xfId="1" builtinId="20" customBuiltin="1"/>
    <cellStyle name="Input EMP2X" xfId="12" xr:uid="{DDBEF913-A1CF-4AF2-ACA1-F282B657499B}"/>
    <cellStyle name="Neutral" xfId="3" builtinId="28" customBuiltin="1"/>
    <cellStyle name="Neutral EMP2X" xfId="13" xr:uid="{112846A1-E04B-45D1-B0CA-48D05A55787F}"/>
    <cellStyle name="Normal" xfId="0" builtinId="0"/>
    <cellStyle name="Normal EMP2X" xfId="14" xr:uid="{373D95B1-CFFB-4602-93D7-76A8504E6804}"/>
    <cellStyle name="Normal-001" xfId="23" xr:uid="{6CE8C528-2DE1-6C49-8E0D-0F3F6A1756B0}"/>
    <cellStyle name="Note" xfId="8" builtinId="10" customBuiltin="1"/>
    <cellStyle name="Note EMP2X" xfId="15" xr:uid="{A36001F2-B410-489D-BCAB-BD91F2E2EB06}"/>
    <cellStyle name="Output" xfId="4" builtinId="21" customBuiltin="1"/>
    <cellStyle name="Output EMP2X" xfId="16" xr:uid="{BEC308B8-11F0-46CA-918A-2788454713F1}"/>
    <cellStyle name="Per cent" xfId="22" builtinId="5"/>
    <cellStyle name="Ref.Instr. EMP2X" xfId="20" xr:uid="{6C0CAC3C-F7C4-4D73-A70E-D998B22904AB}"/>
    <cellStyle name="Warning Text" xfId="7" builtinId="11" customBuiltin="1"/>
    <cellStyle name="Warning Text EMP2X" xfId="21" xr:uid="{694380CA-53FB-5947-B475-8862A3444C5E}"/>
  </cellStyles>
  <dxfs count="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006100"/>
      <color rgb="FF11377D"/>
      <color rgb="FFC00000"/>
      <color rgb="FF00FDFF"/>
      <color rgb="FF0100FE"/>
      <color rgb="FFA15C15"/>
      <color rgb="FF79552E"/>
      <color rgb="FFAB7942"/>
      <color rgb="FF7030A0"/>
      <color rgb="FF2B123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none" spc="20" baseline="0">
                <a:solidFill>
                  <a:schemeClr val="tx1">
                    <a:lumMod val="50000"/>
                    <a:lumOff val="50000"/>
                  </a:schemeClr>
                </a:solidFill>
                <a:latin typeface="Arial" panose="020B0604020202020204" pitchFamily="34" charset="0"/>
                <a:ea typeface="+mn-ea"/>
                <a:cs typeface="+mn-cs"/>
              </a:defRPr>
            </a:pPr>
            <a:r>
              <a:rPr lang="en-GB"/>
              <a:t>Individual Components Uncertainty Contribution </a:t>
            </a:r>
          </a:p>
        </c:rich>
      </c:tx>
      <c:overlay val="0"/>
      <c:spPr>
        <a:noFill/>
        <a:ln>
          <a:noFill/>
        </a:ln>
        <a:effectLst/>
      </c:spPr>
      <c:txPr>
        <a:bodyPr rot="0" spcFirstLastPara="1" vertOverflow="ellipsis" vert="horz" wrap="square" anchor="ctr" anchorCtr="1"/>
        <a:lstStyle/>
        <a:p>
          <a:pPr>
            <a:defRPr sz="1200" b="0" i="0" u="none" strike="noStrike" kern="1200" cap="none" spc="20" baseline="0">
              <a:solidFill>
                <a:schemeClr val="tx1">
                  <a:lumMod val="50000"/>
                  <a:lumOff val="50000"/>
                </a:schemeClr>
              </a:solidFill>
              <a:latin typeface="Arial" panose="020B0604020202020204" pitchFamily="34" charset="0"/>
              <a:ea typeface="+mn-ea"/>
              <a:cs typeface="+mn-cs"/>
            </a:defRPr>
          </a:pPr>
          <a:endParaRPr lang="en-DK"/>
        </a:p>
      </c:txPr>
    </c:title>
    <c:autoTitleDeleted val="0"/>
    <c:plotArea>
      <c:layout/>
      <c:barChart>
        <c:barDir val="col"/>
        <c:grouping val="clustered"/>
        <c:varyColors val="0"/>
        <c:ser>
          <c:idx val="0"/>
          <c:order val="0"/>
          <c:tx>
            <c:strRef>
              <c:f>'UQ-Budget-CorrectSettings'!$P$32</c:f>
              <c:strCache>
                <c:ptCount val="1"/>
                <c:pt idx="0">
                  <c:v>u_SPt</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val>
            <c:numRef>
              <c:f>'UQ-Budget-CorrectSettings'!$P$33</c:f>
              <c:numCache>
                <c:formatCode>0.00</c:formatCode>
                <c:ptCount val="1"/>
                <c:pt idx="0">
                  <c:v>2.436902125358253</c:v>
                </c:pt>
              </c:numCache>
            </c:numRef>
          </c:val>
          <c:extLst>
            <c:ext xmlns:c16="http://schemas.microsoft.com/office/drawing/2014/chart" uri="{C3380CC4-5D6E-409C-BE32-E72D297353CC}">
              <c16:uniqueId val="{00000000-0E8B-7140-8D0D-D1650904408F}"/>
            </c:ext>
          </c:extLst>
        </c:ser>
        <c:ser>
          <c:idx val="1"/>
          <c:order val="1"/>
          <c:tx>
            <c:strRef>
              <c:f>'UQ-Budget-CorrectSettings'!$Q$32</c:f>
              <c:strCache>
                <c:ptCount val="1"/>
                <c:pt idx="0">
                  <c:v>u_PtLin</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tx1">
                  <a:lumMod val="50000"/>
                  <a:lumOff val="50000"/>
                </a:schemeClr>
              </a:solidFill>
              <a:round/>
            </a:ln>
            <a:effectLst/>
          </c:spPr>
          <c:invertIfNegative val="0"/>
          <c:val>
            <c:numRef>
              <c:f>'UQ-Budget-CorrectSettings'!$Q$33</c:f>
              <c:numCache>
                <c:formatCode>0.00</c:formatCode>
                <c:ptCount val="1"/>
                <c:pt idx="0">
                  <c:v>94.48286776357989</c:v>
                </c:pt>
              </c:numCache>
            </c:numRef>
          </c:val>
          <c:extLst>
            <c:ext xmlns:c16="http://schemas.microsoft.com/office/drawing/2014/chart" uri="{C3380CC4-5D6E-409C-BE32-E72D297353CC}">
              <c16:uniqueId val="{00000001-0E8B-7140-8D0D-D1650904408F}"/>
            </c:ext>
          </c:extLst>
        </c:ser>
        <c:ser>
          <c:idx val="3"/>
          <c:order val="2"/>
          <c:tx>
            <c:strRef>
              <c:f>'UQ-Budget-CorrectSettings'!$R$32</c:f>
              <c:strCache>
                <c:ptCount val="1"/>
                <c:pt idx="0">
                  <c:v>u_TS</c:v>
                </c:pt>
              </c:strCache>
            </c:strRef>
          </c:tx>
          <c:spPr>
            <a:gradFill rotWithShape="1">
              <a:gsLst>
                <a:gs pos="0">
                  <a:schemeClr val="accent2">
                    <a:lumMod val="60000"/>
                    <a:lumMod val="110000"/>
                    <a:satMod val="105000"/>
                    <a:tint val="67000"/>
                  </a:schemeClr>
                </a:gs>
                <a:gs pos="50000">
                  <a:schemeClr val="accent2">
                    <a:lumMod val="60000"/>
                    <a:lumMod val="105000"/>
                    <a:satMod val="103000"/>
                    <a:tint val="73000"/>
                  </a:schemeClr>
                </a:gs>
                <a:gs pos="100000">
                  <a:schemeClr val="accent2">
                    <a:lumMod val="60000"/>
                    <a:lumMod val="105000"/>
                    <a:satMod val="109000"/>
                    <a:tint val="81000"/>
                  </a:schemeClr>
                </a:gs>
              </a:gsLst>
              <a:lin ang="5400000" scaled="0"/>
            </a:gradFill>
            <a:ln w="9525" cap="flat" cmpd="sng" algn="ctr">
              <a:solidFill>
                <a:schemeClr val="accent2">
                  <a:lumMod val="60000"/>
                  <a:shade val="95000"/>
                </a:schemeClr>
              </a:solidFill>
              <a:round/>
            </a:ln>
            <a:effectLst/>
          </c:spPr>
          <c:invertIfNegative val="0"/>
          <c:val>
            <c:numRef>
              <c:f>'UQ-Budget-CorrectSettings'!$R$33</c:f>
              <c:numCache>
                <c:formatCode>0.00</c:formatCode>
                <c:ptCount val="1"/>
                <c:pt idx="0">
                  <c:v>1.2340619462998195</c:v>
                </c:pt>
              </c:numCache>
            </c:numRef>
          </c:val>
          <c:extLst>
            <c:ext xmlns:c16="http://schemas.microsoft.com/office/drawing/2014/chart" uri="{C3380CC4-5D6E-409C-BE32-E72D297353CC}">
              <c16:uniqueId val="{00000002-0E8B-7140-8D0D-D1650904408F}"/>
            </c:ext>
          </c:extLst>
        </c:ser>
        <c:ser>
          <c:idx val="4"/>
          <c:order val="3"/>
          <c:tx>
            <c:strRef>
              <c:f>'UQ-Budget-CorrectSettings'!$S$32</c:f>
              <c:strCache>
                <c:ptCount val="1"/>
                <c:pt idx="0">
                  <c:v>u_Gcamp</c:v>
                </c:pt>
              </c:strCache>
            </c:strRef>
          </c:tx>
          <c:spPr>
            <a:gradFill rotWithShape="1">
              <a:gsLst>
                <a:gs pos="0">
                  <a:schemeClr val="accent4">
                    <a:lumMod val="60000"/>
                    <a:lumMod val="110000"/>
                    <a:satMod val="105000"/>
                    <a:tint val="67000"/>
                  </a:schemeClr>
                </a:gs>
                <a:gs pos="50000">
                  <a:schemeClr val="accent4">
                    <a:lumMod val="60000"/>
                    <a:lumMod val="105000"/>
                    <a:satMod val="103000"/>
                    <a:tint val="73000"/>
                  </a:schemeClr>
                </a:gs>
                <a:gs pos="100000">
                  <a:schemeClr val="accent4">
                    <a:lumMod val="60000"/>
                    <a:lumMod val="105000"/>
                    <a:satMod val="109000"/>
                    <a:tint val="81000"/>
                  </a:schemeClr>
                </a:gs>
              </a:gsLst>
              <a:lin ang="5400000" scaled="0"/>
            </a:gradFill>
            <a:ln w="9525" cap="flat" cmpd="sng" algn="ctr">
              <a:solidFill>
                <a:schemeClr val="accent4">
                  <a:lumMod val="60000"/>
                  <a:shade val="95000"/>
                </a:schemeClr>
              </a:solidFill>
              <a:round/>
            </a:ln>
            <a:effectLst/>
          </c:spPr>
          <c:invertIfNegative val="0"/>
          <c:val>
            <c:numRef>
              <c:f>'UQ-Budget-CorrectSettings'!$S$33</c:f>
              <c:numCache>
                <c:formatCode>0.00</c:formatCode>
                <c:ptCount val="1"/>
                <c:pt idx="0">
                  <c:v>1.7967941938125362</c:v>
                </c:pt>
              </c:numCache>
            </c:numRef>
          </c:val>
          <c:extLst>
            <c:ext xmlns:c16="http://schemas.microsoft.com/office/drawing/2014/chart" uri="{C3380CC4-5D6E-409C-BE32-E72D297353CC}">
              <c16:uniqueId val="{00000003-0E8B-7140-8D0D-D1650904408F}"/>
            </c:ext>
          </c:extLst>
        </c:ser>
        <c:ser>
          <c:idx val="5"/>
          <c:order val="4"/>
          <c:tx>
            <c:strRef>
              <c:f>'UQ-Budget-CorrectSettings'!$T$32</c:f>
              <c:strCache>
                <c:ptCount val="1"/>
                <c:pt idx="0">
                  <c:v>u_VDAQ</c:v>
                </c:pt>
              </c:strCache>
            </c:strRef>
          </c:tx>
          <c:spPr>
            <a:gradFill rotWithShape="1">
              <a:gsLst>
                <a:gs pos="0">
                  <a:schemeClr val="accent6">
                    <a:lumMod val="60000"/>
                    <a:lumMod val="110000"/>
                    <a:satMod val="105000"/>
                    <a:tint val="67000"/>
                  </a:schemeClr>
                </a:gs>
                <a:gs pos="50000">
                  <a:schemeClr val="accent6">
                    <a:lumMod val="60000"/>
                    <a:lumMod val="105000"/>
                    <a:satMod val="103000"/>
                    <a:tint val="73000"/>
                  </a:schemeClr>
                </a:gs>
                <a:gs pos="100000">
                  <a:schemeClr val="accent6">
                    <a:lumMod val="60000"/>
                    <a:lumMod val="105000"/>
                    <a:satMod val="109000"/>
                    <a:tint val="81000"/>
                  </a:schemeClr>
                </a:gs>
              </a:gsLst>
              <a:lin ang="5400000" scaled="0"/>
            </a:gradFill>
            <a:ln w="9525" cap="flat" cmpd="sng" algn="ctr">
              <a:solidFill>
                <a:schemeClr val="accent6">
                  <a:lumMod val="60000"/>
                  <a:shade val="95000"/>
                </a:schemeClr>
              </a:solidFill>
              <a:round/>
            </a:ln>
            <a:effectLst/>
          </c:spPr>
          <c:invertIfNegative val="0"/>
          <c:val>
            <c:numRef>
              <c:f>'UQ-Budget-CorrectSettings'!$T$33</c:f>
              <c:numCache>
                <c:formatCode>0.00</c:formatCode>
                <c:ptCount val="1"/>
                <c:pt idx="0">
                  <c:v>4.9373970949483405E-2</c:v>
                </c:pt>
              </c:numCache>
            </c:numRef>
          </c:val>
          <c:extLst>
            <c:ext xmlns:c16="http://schemas.microsoft.com/office/drawing/2014/chart" uri="{C3380CC4-5D6E-409C-BE32-E72D297353CC}">
              <c16:uniqueId val="{00000004-0E8B-7140-8D0D-D1650904408F}"/>
            </c:ext>
          </c:extLst>
        </c:ser>
        <c:dLbls>
          <c:showLegendKey val="0"/>
          <c:showVal val="0"/>
          <c:showCatName val="0"/>
          <c:showSerName val="0"/>
          <c:showPercent val="0"/>
          <c:showBubbleSize val="0"/>
        </c:dLbls>
        <c:gapWidth val="150"/>
        <c:axId val="1694439215"/>
        <c:axId val="1920026016"/>
      </c:barChart>
      <c:catAx>
        <c:axId val="1694439215"/>
        <c:scaling>
          <c:orientation val="minMax"/>
        </c:scaling>
        <c:delete val="1"/>
        <c:axPos val="b"/>
        <c:title>
          <c:tx>
            <c:rich>
              <a:bodyPr rot="0" spcFirstLastPara="1" vertOverflow="ellipsis" vert="horz" wrap="square" anchor="ctr" anchorCtr="1"/>
              <a:lstStyle/>
              <a:p>
                <a:pPr>
                  <a:defRPr sz="1000" b="0" i="0" u="none" strike="noStrike" kern="1200" cap="none" baseline="0">
                    <a:solidFill>
                      <a:schemeClr val="tx1">
                        <a:lumMod val="50000"/>
                        <a:lumOff val="50000"/>
                      </a:schemeClr>
                    </a:solidFill>
                    <a:latin typeface="Arial" panose="020B0604020202020204" pitchFamily="34" charset="0"/>
                    <a:ea typeface="+mn-ea"/>
                    <a:cs typeface="+mn-cs"/>
                  </a:defRPr>
                </a:pPr>
                <a:r>
                  <a:rPr lang="en-GB" cap="none" baseline="0"/>
                  <a:t>Uncertainty Components</a:t>
                </a:r>
              </a:p>
            </c:rich>
          </c:tx>
          <c:overlay val="0"/>
          <c:spPr>
            <a:noFill/>
            <a:ln>
              <a:noFill/>
            </a:ln>
            <a:effectLst/>
          </c:spPr>
          <c:txPr>
            <a:bodyPr rot="0" spcFirstLastPara="1" vertOverflow="ellipsis" vert="horz" wrap="square" anchor="ctr" anchorCtr="1"/>
            <a:lstStyle/>
            <a:p>
              <a:pPr>
                <a:defRPr sz="1000" b="0" i="0" u="none" strike="noStrike" kern="1200" cap="none" baseline="0">
                  <a:solidFill>
                    <a:schemeClr val="tx1">
                      <a:lumMod val="50000"/>
                      <a:lumOff val="50000"/>
                    </a:schemeClr>
                  </a:solidFill>
                  <a:latin typeface="Arial" panose="020B0604020202020204" pitchFamily="34" charset="0"/>
                  <a:ea typeface="+mn-ea"/>
                  <a:cs typeface="+mn-cs"/>
                </a:defRPr>
              </a:pPr>
              <a:endParaRPr lang="en-DK"/>
            </a:p>
          </c:txPr>
        </c:title>
        <c:numFmt formatCode="General" sourceLinked="1"/>
        <c:majorTickMark val="none"/>
        <c:minorTickMark val="none"/>
        <c:tickLblPos val="nextTo"/>
        <c:crossAx val="1920026016"/>
        <c:crosses val="autoZero"/>
        <c:auto val="1"/>
        <c:lblAlgn val="ctr"/>
        <c:lblOffset val="100"/>
        <c:noMultiLvlLbl val="0"/>
      </c:catAx>
      <c:valAx>
        <c:axId val="1920026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cap="none" baseline="0">
                    <a:solidFill>
                      <a:schemeClr val="tx1">
                        <a:lumMod val="50000"/>
                        <a:lumOff val="50000"/>
                      </a:schemeClr>
                    </a:solidFill>
                    <a:latin typeface="Arial" panose="020B0604020202020204" pitchFamily="34" charset="0"/>
                    <a:ea typeface="+mn-ea"/>
                    <a:cs typeface="+mn-cs"/>
                  </a:defRPr>
                </a:pPr>
                <a:r>
                  <a:rPr lang="en-GB" cap="none" baseline="0"/>
                  <a:t>Index (Variance) [%]</a:t>
                </a:r>
              </a:p>
            </c:rich>
          </c:tx>
          <c:overlay val="0"/>
          <c:spPr>
            <a:noFill/>
            <a:ln>
              <a:noFill/>
            </a:ln>
            <a:effectLst/>
          </c:spPr>
          <c:txPr>
            <a:bodyPr rot="-5400000" spcFirstLastPara="1" vertOverflow="ellipsis" vert="horz" wrap="square" anchor="ctr" anchorCtr="1"/>
            <a:lstStyle/>
            <a:p>
              <a:pPr>
                <a:defRPr sz="1000" b="0" i="0" u="none" strike="noStrike" kern="1200" cap="none" baseline="0">
                  <a:solidFill>
                    <a:schemeClr val="tx1">
                      <a:lumMod val="50000"/>
                      <a:lumOff val="50000"/>
                    </a:schemeClr>
                  </a:solidFill>
                  <a:latin typeface="Arial" panose="020B0604020202020204" pitchFamily="34" charset="0"/>
                  <a:ea typeface="+mn-ea"/>
                  <a:cs typeface="+mn-cs"/>
                </a:defRPr>
              </a:pPr>
              <a:endParaRPr lang="en-DK"/>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mn-cs"/>
              </a:defRPr>
            </a:pPr>
            <a:endParaRPr lang="en-DK"/>
          </a:p>
        </c:txPr>
        <c:crossAx val="16944392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mn-cs"/>
            </a:defRPr>
          </a:pPr>
          <a:endParaRPr lang="en-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50000"/>
          <a:lumOff val="50000"/>
        </a:schemeClr>
      </a:solidFill>
      <a:round/>
    </a:ln>
    <a:effectLst/>
  </c:spPr>
  <c:txPr>
    <a:bodyPr/>
    <a:lstStyle/>
    <a:p>
      <a:pPr>
        <a:defRPr sz="1000" baseline="0">
          <a:latin typeface="Arial" panose="020B0604020202020204" pitchFamily="34" charset="0"/>
        </a:defRPr>
      </a:pPr>
      <a:endParaRPr lang="en-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Arial" panose="020B0604020202020204" pitchFamily="34" charset="0"/>
                <a:ea typeface="+mn-ea"/>
                <a:cs typeface="+mn-cs"/>
              </a:defRPr>
            </a:pPr>
            <a:r>
              <a:rPr lang="en-US">
                <a:solidFill>
                  <a:sysClr val="windowText" lastClr="000000"/>
                </a:solidFill>
              </a:rPr>
              <a:t>Relative Expanded Uncertainty</a:t>
            </a:r>
          </a:p>
          <a:p>
            <a:pPr>
              <a:defRPr>
                <a:solidFill>
                  <a:sysClr val="windowText" lastClr="000000"/>
                </a:solidFill>
              </a:defRPr>
            </a:pPr>
            <a:r>
              <a:rPr lang="en-US" sz="1200" baseline="0">
                <a:solidFill>
                  <a:sysClr val="windowText" lastClr="000000"/>
                </a:solidFill>
              </a:rPr>
              <a:t>Correct Settings</a:t>
            </a:r>
            <a:endParaRPr lang="en-US" sz="1200">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Arial" panose="020B0604020202020204" pitchFamily="34" charset="0"/>
              <a:ea typeface="+mn-ea"/>
              <a:cs typeface="+mn-cs"/>
            </a:defRPr>
          </a:pPr>
          <a:endParaRPr lang="en-DK"/>
        </a:p>
      </c:txPr>
    </c:title>
    <c:autoTitleDeleted val="0"/>
    <c:plotArea>
      <c:layout/>
      <c:scatterChart>
        <c:scatterStyle val="lineMarker"/>
        <c:varyColors val="0"/>
        <c:ser>
          <c:idx val="0"/>
          <c:order val="0"/>
          <c:tx>
            <c:strRef>
              <c:f>'Unc.Contributions Analysis-1'!$J$2</c:f>
              <c:strCache>
                <c:ptCount val="1"/>
                <c:pt idx="0">
                  <c:v>Relative Expanded Uncertainty U (k = 2)</c:v>
                </c:pt>
              </c:strCache>
            </c:strRef>
          </c:tx>
          <c:spPr>
            <a:ln w="19050" cap="rnd">
              <a:solidFill>
                <a:srgbClr val="C00000"/>
              </a:solidFill>
              <a:round/>
            </a:ln>
            <a:effectLst/>
          </c:spPr>
          <c:marker>
            <c:symbol val="circle"/>
            <c:size val="5"/>
            <c:spPr>
              <a:solidFill>
                <a:srgbClr val="11377D"/>
              </a:solidFill>
              <a:ln w="9525">
                <a:solidFill>
                  <a:srgbClr val="C00000"/>
                </a:solidFill>
              </a:ln>
              <a:effectLst/>
            </c:spPr>
          </c:marker>
          <c:dLbls>
            <c:dLbl>
              <c:idx val="0"/>
              <c:layout>
                <c:manualLayout>
                  <c:x val="2.2942115832811326E-2"/>
                  <c:y val="-2.4002375290178321E-3"/>
                </c:manualLayout>
              </c:layout>
              <c:numFmt formatCode="#,##0" sourceLinked="0"/>
              <c:spPr>
                <a:solidFill>
                  <a:sysClr val="window" lastClr="FFFFFF"/>
                </a:solidFill>
                <a:ln>
                  <a:solidFill>
                    <a:srgbClr val="0061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rgbClr val="00B050"/>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0-5816-9146-A01D-D768DFAEBDF4}"/>
                </c:ext>
              </c:extLst>
            </c:dLbl>
            <c:dLbl>
              <c:idx val="1"/>
              <c:layout>
                <c:manualLayout>
                  <c:x val="4.9209753086419755E-2"/>
                  <c:y val="-0.19818462962962971"/>
                </c:manualLayout>
              </c:layout>
              <c:numFmt formatCode="#,##0" sourceLinked="0"/>
              <c:spPr>
                <a:solidFill>
                  <a:sysClr val="window" lastClr="FFFFFF"/>
                </a:solidFill>
                <a:ln>
                  <a:solidFill>
                    <a:srgbClr val="0061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rgbClr val="00B050"/>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5816-9146-A01D-D768DFAEBDF4}"/>
                </c:ext>
              </c:extLst>
            </c:dLbl>
            <c:dLbl>
              <c:idx val="2"/>
              <c:layout>
                <c:manualLayout>
                  <c:x val="2.6063703703703704E-2"/>
                  <c:y val="-0.15138949205971383"/>
                </c:manualLayout>
              </c:layout>
              <c:numFmt formatCode="#,##0" sourceLinked="0"/>
              <c:spPr>
                <a:solidFill>
                  <a:sysClr val="window" lastClr="FFFFFF"/>
                </a:solidFill>
                <a:ln>
                  <a:solidFill>
                    <a:srgbClr val="0061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rgbClr val="00B050"/>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2-5816-9146-A01D-D768DFAEBDF4}"/>
                </c:ext>
              </c:extLst>
            </c:dLbl>
            <c:dLbl>
              <c:idx val="3"/>
              <c:layout>
                <c:manualLayout>
                  <c:x val="3.1015061728395032E-2"/>
                  <c:y val="-0.15369296296296298"/>
                </c:manualLayout>
              </c:layout>
              <c:numFmt formatCode="#,##0" sourceLinked="0"/>
              <c:spPr>
                <a:solidFill>
                  <a:sysClr val="window" lastClr="FFFFFF"/>
                </a:solidFill>
                <a:ln>
                  <a:solidFill>
                    <a:srgbClr val="0061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rgbClr val="00B050"/>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5816-9146-A01D-D768DFAEBDF4}"/>
                </c:ext>
              </c:extLst>
            </c:dLbl>
            <c:dLbl>
              <c:idx val="4"/>
              <c:layout>
                <c:manualLayout>
                  <c:x val="4.5457901234567902E-2"/>
                  <c:y val="-0.17553703703703705"/>
                </c:manualLayout>
              </c:layout>
              <c:numFmt formatCode="#,##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5816-9146-A01D-D768DFAEBDF4}"/>
                </c:ext>
              </c:extLst>
            </c:dLbl>
            <c:dLbl>
              <c:idx val="5"/>
              <c:layout>
                <c:manualLayout>
                  <c:x val="5.8932962962962965E-2"/>
                  <c:y val="-0.16649240740740751"/>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5816-9146-A01D-D768DFAEBDF4}"/>
                </c:ext>
              </c:extLst>
            </c:dLbl>
            <c:dLbl>
              <c:idx val="6"/>
              <c:layout>
                <c:manualLayout>
                  <c:x val="5.4000000000000027E-2"/>
                  <c:y val="-0.14816666666666675"/>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6-5816-9146-A01D-D768DFAEBDF4}"/>
                </c:ext>
              </c:extLst>
            </c:dLbl>
            <c:dLbl>
              <c:idx val="7"/>
              <c:layout>
                <c:manualLayout>
                  <c:x val="4.9176049382716053E-2"/>
                  <c:y val="-0.10576074074074074"/>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5816-9146-A01D-D768DFAEBDF4}"/>
                </c:ext>
              </c:extLst>
            </c:dLbl>
            <c:dLbl>
              <c:idx val="8"/>
              <c:layout>
                <c:manualLayout>
                  <c:x val="3.4974814814814757E-2"/>
                  <c:y val="-5.8687407407407577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8-5816-9146-A01D-D768DFAEBDF4}"/>
                </c:ext>
              </c:extLst>
            </c:dLbl>
            <c:dLbl>
              <c:idx val="9"/>
              <c:layout>
                <c:manualLayout>
                  <c:x val="-1.9991928153054731E-2"/>
                  <c:y val="-6.8131027827213572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5816-9146-A01D-D768DFAEBDF4}"/>
                </c:ext>
              </c:extLst>
            </c:dLbl>
            <c:dLbl>
              <c:idx val="10"/>
              <c:layout>
                <c:manualLayout>
                  <c:x val="-1.8454087525896681E-2"/>
                  <c:y val="-6.577919862773802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A-5816-9146-A01D-D768DFAEBDF4}"/>
                </c:ext>
              </c:extLst>
            </c:dLbl>
            <c:dLbl>
              <c:idx val="11"/>
              <c:layout>
                <c:manualLayout>
                  <c:x val="-1.3840565644422428E-2"/>
                  <c:y val="-6.81310278272136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5816-9146-A01D-D768DFAEBDF4}"/>
                </c:ext>
              </c:extLst>
            </c:dLbl>
            <c:dLbl>
              <c:idx val="12"/>
              <c:layout>
                <c:manualLayout>
                  <c:x val="-2.0382716049382715E-2"/>
                  <c:y val="-6.5851851851851856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C-5816-9146-A01D-D768DFAEBDF4}"/>
                </c:ext>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'Unc.Contributions Analysis-1'!$T$4:$T$9</c:f>
              <c:numCache>
                <c:formatCode>0.0</c:formatCode>
                <c:ptCount val="6"/>
                <c:pt idx="0">
                  <c:v>2.5</c:v>
                </c:pt>
                <c:pt idx="1">
                  <c:v>5</c:v>
                </c:pt>
                <c:pt idx="2">
                  <c:v>7.5000000000000009</c:v>
                </c:pt>
                <c:pt idx="3">
                  <c:v>10</c:v>
                </c:pt>
                <c:pt idx="4">
                  <c:v>15.000000000000002</c:v>
                </c:pt>
                <c:pt idx="5">
                  <c:v>20</c:v>
                </c:pt>
              </c:numCache>
            </c:numRef>
          </c:xVal>
          <c:yVal>
            <c:numRef>
              <c:f>'Unc.Contributions Analysis-1'!$J$4:$J$9</c:f>
              <c:numCache>
                <c:formatCode>0</c:formatCode>
                <c:ptCount val="6"/>
                <c:pt idx="0">
                  <c:v>44.518302213982537</c:v>
                </c:pt>
                <c:pt idx="1">
                  <c:v>22.275849770634355</c:v>
                </c:pt>
                <c:pt idx="2">
                  <c:v>14.869102062662304</c:v>
                </c:pt>
                <c:pt idx="3">
                  <c:v>11.171259810378043</c:v>
                </c:pt>
                <c:pt idx="4">
                  <c:v>6.8737516011639617</c:v>
                </c:pt>
                <c:pt idx="5" formatCode="0.0">
                  <c:v>5.1972175027677308</c:v>
                </c:pt>
              </c:numCache>
            </c:numRef>
          </c:yVal>
          <c:smooth val="0"/>
          <c:extLst>
            <c:ext xmlns:c16="http://schemas.microsoft.com/office/drawing/2014/chart" uri="{C3380CC4-5D6E-409C-BE32-E72D297353CC}">
              <c16:uniqueId val="{0000000D-5816-9146-A01D-D768DFAEBDF4}"/>
            </c:ext>
          </c:extLst>
        </c:ser>
        <c:dLbls>
          <c:showLegendKey val="0"/>
          <c:showVal val="0"/>
          <c:showCatName val="0"/>
          <c:showSerName val="0"/>
          <c:showPercent val="0"/>
          <c:showBubbleSize val="0"/>
        </c:dLbls>
        <c:axId val="788478943"/>
        <c:axId val="1026242991"/>
      </c:scatterChart>
      <c:valAx>
        <c:axId val="78847894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mn-cs"/>
                  </a:defRPr>
                </a:pPr>
                <a:r>
                  <a:rPr lang="en-GB">
                    <a:solidFill>
                      <a:sysClr val="windowText" lastClr="000000"/>
                    </a:solidFill>
                  </a:rPr>
                  <a:t>∆Pmax [kPa]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mn-cs"/>
                </a:defRPr>
              </a:pPr>
              <a:endParaRPr lang="en-DK"/>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n-DK"/>
          </a:p>
        </c:txPr>
        <c:crossAx val="1026242991"/>
        <c:crosses val="autoZero"/>
        <c:crossBetween val="midCat"/>
      </c:valAx>
      <c:valAx>
        <c:axId val="10262429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mn-cs"/>
                  </a:defRPr>
                </a:pPr>
                <a:r>
                  <a:rPr lang="en-GB">
                    <a:solidFill>
                      <a:sysClr val="windowText" lastClr="000000"/>
                    </a:solidFill>
                  </a:rPr>
                  <a:t>Relative U (k = 2)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mn-cs"/>
                </a:defRPr>
              </a:pPr>
              <a:endParaRPr lang="en-DK"/>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n-DK"/>
          </a:p>
        </c:txPr>
        <c:crossAx val="7884789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n-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50000"/>
          <a:lumOff val="50000"/>
        </a:schemeClr>
      </a:solidFill>
      <a:round/>
    </a:ln>
    <a:effectLst/>
  </c:spPr>
  <c:txPr>
    <a:bodyPr/>
    <a:lstStyle/>
    <a:p>
      <a:pPr>
        <a:defRPr baseline="0">
          <a:latin typeface="Arial" panose="020B0604020202020204" pitchFamily="34" charset="0"/>
        </a:defRPr>
      </a:pPr>
      <a:endParaRPr lang="en-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ysClr val="windowText" lastClr="000000"/>
                </a:solidFill>
                <a:latin typeface="Arial" panose="020B0604020202020204" pitchFamily="34" charset="0"/>
                <a:ea typeface="+mn-ea"/>
                <a:cs typeface="+mn-cs"/>
              </a:defRPr>
            </a:pPr>
            <a:r>
              <a:rPr lang="en-GB" sz="1400">
                <a:solidFill>
                  <a:sysClr val="windowText" lastClr="000000"/>
                </a:solidFill>
              </a:rPr>
              <a:t>Individual Components Uncertainty Contribution </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ysClr val="windowText" lastClr="000000"/>
              </a:solidFill>
              <a:latin typeface="Arial" panose="020B0604020202020204" pitchFamily="34" charset="0"/>
              <a:ea typeface="+mn-ea"/>
              <a:cs typeface="+mn-cs"/>
            </a:defRPr>
          </a:pPr>
          <a:endParaRPr lang="en-DK"/>
        </a:p>
      </c:txPr>
    </c:title>
    <c:autoTitleDeleted val="0"/>
    <c:plotArea>
      <c:layout/>
      <c:barChart>
        <c:barDir val="col"/>
        <c:grouping val="percentStacked"/>
        <c:varyColors val="0"/>
        <c:ser>
          <c:idx val="0"/>
          <c:order val="0"/>
          <c:tx>
            <c:strRef>
              <c:f>'Unc.Contributions Analysis-1'!$L$3</c:f>
              <c:strCache>
                <c:ptCount val="1"/>
                <c:pt idx="0">
                  <c:v>u_SPt</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cat>
            <c:numRef>
              <c:f>'Unc.Contributions Analysis-1'!$T$4:$T$9</c:f>
              <c:numCache>
                <c:formatCode>0.0</c:formatCode>
                <c:ptCount val="6"/>
                <c:pt idx="0">
                  <c:v>2.5</c:v>
                </c:pt>
                <c:pt idx="1">
                  <c:v>5</c:v>
                </c:pt>
                <c:pt idx="2">
                  <c:v>7.5000000000000009</c:v>
                </c:pt>
                <c:pt idx="3">
                  <c:v>10</c:v>
                </c:pt>
                <c:pt idx="4">
                  <c:v>15.000000000000002</c:v>
                </c:pt>
                <c:pt idx="5">
                  <c:v>20</c:v>
                </c:pt>
              </c:numCache>
            </c:numRef>
          </c:cat>
          <c:val>
            <c:numRef>
              <c:f>'Unc.Contributions Analysis-1'!$L$4:$L$9</c:f>
              <c:numCache>
                <c:formatCode>0.00</c:formatCode>
                <c:ptCount val="6"/>
                <c:pt idx="0">
                  <c:v>3.3212585444166519E-2</c:v>
                </c:pt>
                <c:pt idx="1">
                  <c:v>0.1326512390087955</c:v>
                </c:pt>
                <c:pt idx="2">
                  <c:v>0.29772162890802395</c:v>
                </c:pt>
                <c:pt idx="3">
                  <c:v>0.52744304111720475</c:v>
                </c:pt>
                <c:pt idx="4">
                  <c:v>1.3931317938491001</c:v>
                </c:pt>
                <c:pt idx="5">
                  <c:v>2.436902125358253</c:v>
                </c:pt>
              </c:numCache>
            </c:numRef>
          </c:val>
          <c:extLst>
            <c:ext xmlns:c16="http://schemas.microsoft.com/office/drawing/2014/chart" uri="{C3380CC4-5D6E-409C-BE32-E72D297353CC}">
              <c16:uniqueId val="{00000000-4ECC-E245-BFE0-AE9ECC07B9BD}"/>
            </c:ext>
          </c:extLst>
        </c:ser>
        <c:ser>
          <c:idx val="1"/>
          <c:order val="1"/>
          <c:tx>
            <c:strRef>
              <c:f>'Unc.Contributions Analysis-1'!$M$3</c:f>
              <c:strCache>
                <c:ptCount val="1"/>
                <c:pt idx="0">
                  <c:v>u_PtLin</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cat>
            <c:numRef>
              <c:f>'Unc.Contributions Analysis-1'!$T$4:$T$9</c:f>
              <c:numCache>
                <c:formatCode>0.0</c:formatCode>
                <c:ptCount val="6"/>
                <c:pt idx="0">
                  <c:v>2.5</c:v>
                </c:pt>
                <c:pt idx="1">
                  <c:v>5</c:v>
                </c:pt>
                <c:pt idx="2">
                  <c:v>7.5000000000000009</c:v>
                </c:pt>
                <c:pt idx="3">
                  <c:v>10</c:v>
                </c:pt>
                <c:pt idx="4">
                  <c:v>15.000000000000002</c:v>
                </c:pt>
                <c:pt idx="5">
                  <c:v>20</c:v>
                </c:pt>
              </c:numCache>
            </c:numRef>
          </c:cat>
          <c:val>
            <c:numRef>
              <c:f>'Unc.Contributions Analysis-1'!$M$4:$M$9</c:f>
              <c:numCache>
                <c:formatCode>0.00</c:formatCode>
                <c:ptCount val="6"/>
                <c:pt idx="0">
                  <c:v>82.413363385028589</c:v>
                </c:pt>
                <c:pt idx="1">
                  <c:v>82.289850501734136</c:v>
                </c:pt>
                <c:pt idx="2">
                  <c:v>82.084816351812478</c:v>
                </c:pt>
                <c:pt idx="3">
                  <c:v>81.799479081452347</c:v>
                </c:pt>
                <c:pt idx="4">
                  <c:v>96.025075396271006</c:v>
                </c:pt>
                <c:pt idx="5">
                  <c:v>94.48286776357989</c:v>
                </c:pt>
              </c:numCache>
            </c:numRef>
          </c:val>
          <c:extLst>
            <c:ext xmlns:c16="http://schemas.microsoft.com/office/drawing/2014/chart" uri="{C3380CC4-5D6E-409C-BE32-E72D297353CC}">
              <c16:uniqueId val="{00000001-4ECC-E245-BFE0-AE9ECC07B9BD}"/>
            </c:ext>
          </c:extLst>
        </c:ser>
        <c:ser>
          <c:idx val="3"/>
          <c:order val="2"/>
          <c:tx>
            <c:strRef>
              <c:f>'Unc.Contributions Analysis-1'!$N$3</c:f>
              <c:strCache>
                <c:ptCount val="1"/>
                <c:pt idx="0">
                  <c:v>u_TS</c:v>
                </c:pt>
              </c:strCache>
            </c:strRef>
          </c:tx>
          <c:spPr>
            <a:gradFill rotWithShape="1">
              <a:gsLst>
                <a:gs pos="0">
                  <a:schemeClr val="accent2">
                    <a:lumMod val="60000"/>
                    <a:lumMod val="110000"/>
                    <a:satMod val="105000"/>
                    <a:tint val="67000"/>
                  </a:schemeClr>
                </a:gs>
                <a:gs pos="50000">
                  <a:schemeClr val="accent2">
                    <a:lumMod val="60000"/>
                    <a:lumMod val="105000"/>
                    <a:satMod val="103000"/>
                    <a:tint val="73000"/>
                  </a:schemeClr>
                </a:gs>
                <a:gs pos="100000">
                  <a:schemeClr val="accent2">
                    <a:lumMod val="60000"/>
                    <a:lumMod val="105000"/>
                    <a:satMod val="109000"/>
                    <a:tint val="81000"/>
                  </a:schemeClr>
                </a:gs>
              </a:gsLst>
              <a:lin ang="5400000" scaled="0"/>
            </a:gradFill>
            <a:ln w="9525" cap="flat" cmpd="sng" algn="ctr">
              <a:solidFill>
                <a:schemeClr val="accent2">
                  <a:lumMod val="60000"/>
                  <a:shade val="95000"/>
                </a:schemeClr>
              </a:solidFill>
              <a:round/>
            </a:ln>
            <a:effectLst/>
          </c:spPr>
          <c:invertIfNegative val="0"/>
          <c:cat>
            <c:numRef>
              <c:f>'Unc.Contributions Analysis-1'!$T$4:$T$9</c:f>
              <c:numCache>
                <c:formatCode>0.0</c:formatCode>
                <c:ptCount val="6"/>
                <c:pt idx="0">
                  <c:v>2.5</c:v>
                </c:pt>
                <c:pt idx="1">
                  <c:v>5</c:v>
                </c:pt>
                <c:pt idx="2">
                  <c:v>7.5000000000000009</c:v>
                </c:pt>
                <c:pt idx="3">
                  <c:v>10</c:v>
                </c:pt>
                <c:pt idx="4">
                  <c:v>15.000000000000002</c:v>
                </c:pt>
                <c:pt idx="5">
                  <c:v>20</c:v>
                </c:pt>
              </c:numCache>
            </c:numRef>
          </c:cat>
          <c:val>
            <c:numRef>
              <c:f>'Unc.Contributions Analysis-1'!$N$4:$N$9</c:f>
              <c:numCache>
                <c:formatCode>0.00</c:formatCode>
                <c:ptCount val="6"/>
                <c:pt idx="0">
                  <c:v>1.6819053752046655E-2</c:v>
                </c:pt>
                <c:pt idx="1">
                  <c:v>6.7175388164680952E-2</c:v>
                </c:pt>
                <c:pt idx="2">
                  <c:v>0.15076803003394137</c:v>
                </c:pt>
                <c:pt idx="3">
                  <c:v>0.26710033985780363</c:v>
                </c:pt>
                <c:pt idx="4">
                  <c:v>0.70549034985015457</c:v>
                </c:pt>
                <c:pt idx="5">
                  <c:v>1.2340619462998195</c:v>
                </c:pt>
              </c:numCache>
            </c:numRef>
          </c:val>
          <c:extLst>
            <c:ext xmlns:c16="http://schemas.microsoft.com/office/drawing/2014/chart" uri="{C3380CC4-5D6E-409C-BE32-E72D297353CC}">
              <c16:uniqueId val="{00000002-4ECC-E245-BFE0-AE9ECC07B9BD}"/>
            </c:ext>
          </c:extLst>
        </c:ser>
        <c:ser>
          <c:idx val="4"/>
          <c:order val="3"/>
          <c:tx>
            <c:strRef>
              <c:f>'Unc.Contributions Analysis-1'!$O$3</c:f>
              <c:strCache>
                <c:ptCount val="1"/>
                <c:pt idx="0">
                  <c:v>u_Gcamp</c:v>
                </c:pt>
              </c:strCache>
            </c:strRef>
          </c:tx>
          <c:spPr>
            <a:gradFill rotWithShape="1">
              <a:gsLst>
                <a:gs pos="0">
                  <a:schemeClr val="accent4">
                    <a:lumMod val="60000"/>
                    <a:lumMod val="110000"/>
                    <a:satMod val="105000"/>
                    <a:tint val="67000"/>
                  </a:schemeClr>
                </a:gs>
                <a:gs pos="50000">
                  <a:schemeClr val="accent4">
                    <a:lumMod val="60000"/>
                    <a:lumMod val="105000"/>
                    <a:satMod val="103000"/>
                    <a:tint val="73000"/>
                  </a:schemeClr>
                </a:gs>
                <a:gs pos="100000">
                  <a:schemeClr val="accent4">
                    <a:lumMod val="60000"/>
                    <a:lumMod val="105000"/>
                    <a:satMod val="109000"/>
                    <a:tint val="81000"/>
                  </a:schemeClr>
                </a:gs>
              </a:gsLst>
              <a:lin ang="5400000" scaled="0"/>
            </a:gradFill>
            <a:ln w="9525" cap="flat" cmpd="sng" algn="ctr">
              <a:solidFill>
                <a:schemeClr val="accent4">
                  <a:lumMod val="60000"/>
                  <a:shade val="95000"/>
                </a:schemeClr>
              </a:solidFill>
              <a:round/>
            </a:ln>
            <a:effectLst/>
          </c:spPr>
          <c:invertIfNegative val="0"/>
          <c:cat>
            <c:numRef>
              <c:f>'Unc.Contributions Analysis-1'!$T$4:$T$9</c:f>
              <c:numCache>
                <c:formatCode>0.0</c:formatCode>
                <c:ptCount val="6"/>
                <c:pt idx="0">
                  <c:v>2.5</c:v>
                </c:pt>
                <c:pt idx="1">
                  <c:v>5</c:v>
                </c:pt>
                <c:pt idx="2">
                  <c:v>7.5000000000000009</c:v>
                </c:pt>
                <c:pt idx="3">
                  <c:v>10</c:v>
                </c:pt>
                <c:pt idx="4">
                  <c:v>15.000000000000002</c:v>
                </c:pt>
                <c:pt idx="5">
                  <c:v>20</c:v>
                </c:pt>
              </c:numCache>
            </c:numRef>
          </c:cat>
          <c:val>
            <c:numRef>
              <c:f>'Unc.Contributions Analysis-1'!$O$4:$O$9</c:f>
              <c:numCache>
                <c:formatCode>0.00</c:formatCode>
                <c:ptCount val="6"/>
                <c:pt idx="0">
                  <c:v>17.493538173232732</c:v>
                </c:pt>
                <c:pt idx="1">
                  <c:v>17.467320612754069</c:v>
                </c:pt>
                <c:pt idx="2">
                  <c:v>17.42379887573049</c:v>
                </c:pt>
                <c:pt idx="3">
                  <c:v>17.363231532932328</c:v>
                </c:pt>
                <c:pt idx="4">
                  <c:v>1.8261225766787994</c:v>
                </c:pt>
                <c:pt idx="5">
                  <c:v>1.7967941938125362</c:v>
                </c:pt>
              </c:numCache>
            </c:numRef>
          </c:val>
          <c:extLst>
            <c:ext xmlns:c16="http://schemas.microsoft.com/office/drawing/2014/chart" uri="{C3380CC4-5D6E-409C-BE32-E72D297353CC}">
              <c16:uniqueId val="{00000003-4ECC-E245-BFE0-AE9ECC07B9BD}"/>
            </c:ext>
          </c:extLst>
        </c:ser>
        <c:ser>
          <c:idx val="5"/>
          <c:order val="4"/>
          <c:tx>
            <c:strRef>
              <c:f>'Unc.Contributions Analysis-1'!$P$3</c:f>
              <c:strCache>
                <c:ptCount val="1"/>
                <c:pt idx="0">
                  <c:v>u_VDAQ</c:v>
                </c:pt>
              </c:strCache>
            </c:strRef>
          </c:tx>
          <c:spPr>
            <a:gradFill rotWithShape="1">
              <a:gsLst>
                <a:gs pos="0">
                  <a:schemeClr val="accent6">
                    <a:lumMod val="60000"/>
                    <a:lumMod val="110000"/>
                    <a:satMod val="105000"/>
                    <a:tint val="67000"/>
                  </a:schemeClr>
                </a:gs>
                <a:gs pos="50000">
                  <a:schemeClr val="accent6">
                    <a:lumMod val="60000"/>
                    <a:lumMod val="105000"/>
                    <a:satMod val="103000"/>
                    <a:tint val="73000"/>
                  </a:schemeClr>
                </a:gs>
                <a:gs pos="100000">
                  <a:schemeClr val="accent6">
                    <a:lumMod val="60000"/>
                    <a:lumMod val="105000"/>
                    <a:satMod val="109000"/>
                    <a:tint val="81000"/>
                  </a:schemeClr>
                </a:gs>
              </a:gsLst>
              <a:lin ang="5400000" scaled="0"/>
            </a:gradFill>
            <a:ln w="9525" cap="flat" cmpd="sng" algn="ctr">
              <a:solidFill>
                <a:schemeClr val="accent6">
                  <a:lumMod val="60000"/>
                  <a:shade val="95000"/>
                </a:schemeClr>
              </a:solidFill>
              <a:round/>
            </a:ln>
            <a:effectLst/>
          </c:spPr>
          <c:invertIfNegative val="0"/>
          <c:cat>
            <c:numRef>
              <c:f>'Unc.Contributions Analysis-1'!$T$4:$T$9</c:f>
              <c:numCache>
                <c:formatCode>0.0</c:formatCode>
                <c:ptCount val="6"/>
                <c:pt idx="0">
                  <c:v>2.5</c:v>
                </c:pt>
                <c:pt idx="1">
                  <c:v>5</c:v>
                </c:pt>
                <c:pt idx="2">
                  <c:v>7.5000000000000009</c:v>
                </c:pt>
                <c:pt idx="3">
                  <c:v>10</c:v>
                </c:pt>
                <c:pt idx="4">
                  <c:v>15.000000000000002</c:v>
                </c:pt>
                <c:pt idx="5">
                  <c:v>20</c:v>
                </c:pt>
              </c:numCache>
            </c:numRef>
          </c:cat>
          <c:val>
            <c:numRef>
              <c:f>'Unc.Contributions Analysis-1'!$P$4:$P$9</c:f>
              <c:numCache>
                <c:formatCode>0.00</c:formatCode>
                <c:ptCount val="6"/>
                <c:pt idx="0">
                  <c:v>4.3066802542482935E-2</c:v>
                </c:pt>
                <c:pt idx="1">
                  <c:v>4.3002258338268838E-2</c:v>
                </c:pt>
                <c:pt idx="2">
                  <c:v>4.2895113515069604E-2</c:v>
                </c:pt>
                <c:pt idx="3">
                  <c:v>4.2746004640296473E-2</c:v>
                </c:pt>
                <c:pt idx="4">
                  <c:v>5.0179883350926359E-2</c:v>
                </c:pt>
                <c:pt idx="5">
                  <c:v>4.9373970949483405E-2</c:v>
                </c:pt>
              </c:numCache>
            </c:numRef>
          </c:val>
          <c:extLst>
            <c:ext xmlns:c16="http://schemas.microsoft.com/office/drawing/2014/chart" uri="{C3380CC4-5D6E-409C-BE32-E72D297353CC}">
              <c16:uniqueId val="{00000004-4ECC-E245-BFE0-AE9ECC07B9BD}"/>
            </c:ext>
          </c:extLst>
        </c:ser>
        <c:dLbls>
          <c:showLegendKey val="0"/>
          <c:showVal val="0"/>
          <c:showCatName val="0"/>
          <c:showSerName val="0"/>
          <c:showPercent val="0"/>
          <c:showBubbleSize val="0"/>
        </c:dLbls>
        <c:gapWidth val="150"/>
        <c:overlap val="100"/>
        <c:serLines>
          <c:spPr>
            <a:ln w="9525">
              <a:solidFill>
                <a:schemeClr val="tx1">
                  <a:lumMod val="35000"/>
                  <a:lumOff val="65000"/>
                </a:schemeClr>
              </a:solidFill>
              <a:prstDash val="dash"/>
            </a:ln>
            <a:effectLst/>
          </c:spPr>
        </c:serLines>
        <c:axId val="2094004864"/>
        <c:axId val="2093530768"/>
      </c:barChart>
      <c:catAx>
        <c:axId val="2094004864"/>
        <c:scaling>
          <c:orientation val="minMax"/>
        </c:scaling>
        <c:delete val="0"/>
        <c:axPos val="b"/>
        <c:title>
          <c:tx>
            <c:rich>
              <a:bodyPr rot="0" spcFirstLastPara="1" vertOverflow="ellipsis" vert="horz" wrap="square" anchor="ctr" anchorCtr="1"/>
              <a:lstStyle/>
              <a:p>
                <a:pPr>
                  <a:defRPr sz="1000" b="0" i="0" u="none" strike="noStrike" kern="1200" cap="none" baseline="0">
                    <a:solidFill>
                      <a:sysClr val="windowText" lastClr="000000"/>
                    </a:solidFill>
                    <a:latin typeface="Arial" panose="020B0604020202020204" pitchFamily="34" charset="0"/>
                    <a:ea typeface="+mn-ea"/>
                    <a:cs typeface="+mn-cs"/>
                  </a:defRPr>
                </a:pPr>
                <a:r>
                  <a:rPr lang="en-GB" sz="1000" b="0" i="0" u="none" strike="noStrike" kern="1200" baseline="0">
                    <a:solidFill>
                      <a:sysClr val="windowText" lastClr="000000"/>
                    </a:solidFill>
                    <a:latin typeface="Arial" panose="020B0604020202020204" pitchFamily="34" charset="0"/>
                    <a:cs typeface="Arial" panose="020B0604020202020204" pitchFamily="34" charset="0"/>
                  </a:rPr>
                  <a:t>∆Pmax [kPa]</a:t>
                </a:r>
              </a:p>
            </c:rich>
          </c:tx>
          <c:layout>
            <c:manualLayout>
              <c:xMode val="edge"/>
              <c:yMode val="edge"/>
              <c:x val="0.49090638888888888"/>
              <c:y val="0.89994444444444444"/>
            </c:manualLayout>
          </c:layout>
          <c:overlay val="0"/>
          <c:spPr>
            <a:noFill/>
            <a:ln>
              <a:noFill/>
            </a:ln>
            <a:effectLst/>
          </c:spPr>
          <c:txPr>
            <a:bodyPr rot="0" spcFirstLastPara="1" vertOverflow="ellipsis" vert="horz" wrap="square" anchor="ctr" anchorCtr="1"/>
            <a:lstStyle/>
            <a:p>
              <a:pPr>
                <a:defRPr sz="1000" b="0" i="0" u="none" strike="noStrike" kern="1200" cap="none" baseline="0">
                  <a:solidFill>
                    <a:sysClr val="windowText" lastClr="000000"/>
                  </a:solidFill>
                  <a:latin typeface="Arial" panose="020B0604020202020204" pitchFamily="34" charset="0"/>
                  <a:ea typeface="+mn-ea"/>
                  <a:cs typeface="+mn-cs"/>
                </a:defRPr>
              </a:pPr>
              <a:endParaRPr lang="en-DK"/>
            </a:p>
          </c:txPr>
        </c:title>
        <c:numFmt formatCode="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mn-cs"/>
              </a:defRPr>
            </a:pPr>
            <a:endParaRPr lang="en-DK"/>
          </a:p>
        </c:txPr>
        <c:crossAx val="2093530768"/>
        <c:crosses val="autoZero"/>
        <c:auto val="1"/>
        <c:lblAlgn val="ctr"/>
        <c:lblOffset val="100"/>
        <c:noMultiLvlLbl val="0"/>
      </c:catAx>
      <c:valAx>
        <c:axId val="20935307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cap="none" baseline="0">
                    <a:solidFill>
                      <a:sysClr val="windowText" lastClr="000000"/>
                    </a:solidFill>
                    <a:latin typeface="Arial" panose="020B0604020202020204" pitchFamily="34" charset="0"/>
                    <a:ea typeface="+mn-ea"/>
                    <a:cs typeface="+mn-cs"/>
                  </a:defRPr>
                </a:pPr>
                <a:r>
                  <a:rPr lang="en-GB" cap="none" baseline="0">
                    <a:solidFill>
                      <a:sysClr val="windowText" lastClr="000000"/>
                    </a:solidFill>
                  </a:rPr>
                  <a:t>Index (Variance) [%]</a:t>
                </a:r>
              </a:p>
            </c:rich>
          </c:tx>
          <c:overlay val="0"/>
          <c:spPr>
            <a:noFill/>
            <a:ln>
              <a:noFill/>
            </a:ln>
            <a:effectLst/>
          </c:spPr>
          <c:txPr>
            <a:bodyPr rot="-5400000" spcFirstLastPara="1" vertOverflow="ellipsis" vert="horz" wrap="square" anchor="ctr" anchorCtr="1"/>
            <a:lstStyle/>
            <a:p>
              <a:pPr>
                <a:defRPr sz="1000" b="0" i="0" u="none" strike="noStrike" kern="1200" cap="none" baseline="0">
                  <a:solidFill>
                    <a:sysClr val="windowText" lastClr="000000"/>
                  </a:solidFill>
                  <a:latin typeface="Arial" panose="020B0604020202020204" pitchFamily="34" charset="0"/>
                  <a:ea typeface="+mn-ea"/>
                  <a:cs typeface="+mn-cs"/>
                </a:defRPr>
              </a:pPr>
              <a:endParaRPr lang="en-DK"/>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mn-cs"/>
              </a:defRPr>
            </a:pPr>
            <a:endParaRPr lang="en-DK"/>
          </a:p>
        </c:txPr>
        <c:crossAx val="2094004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mn-cs"/>
            </a:defRPr>
          </a:pPr>
          <a:endParaRPr lang="en-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50000"/>
          <a:lumOff val="50000"/>
        </a:schemeClr>
      </a:solidFill>
      <a:round/>
    </a:ln>
    <a:effectLst/>
  </c:spPr>
  <c:txPr>
    <a:bodyPr/>
    <a:lstStyle/>
    <a:p>
      <a:pPr>
        <a:defRPr sz="1000" baseline="0">
          <a:latin typeface="Arial" panose="020B0604020202020204" pitchFamily="34" charset="0"/>
        </a:defRPr>
      </a:pPr>
      <a:endParaRPr lang="en-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cap="none" spc="20" baseline="0">
                <a:solidFill>
                  <a:schemeClr val="tx1">
                    <a:lumMod val="50000"/>
                    <a:lumOff val="50000"/>
                  </a:schemeClr>
                </a:solidFill>
                <a:latin typeface="Arial" panose="020B0604020202020204" pitchFamily="34" charset="0"/>
                <a:ea typeface="+mn-ea"/>
                <a:cs typeface="+mn-cs"/>
              </a:defRPr>
            </a:pPr>
            <a:r>
              <a:rPr lang="en-GB"/>
              <a:t>Individual Components Uncertainty Contribution </a:t>
            </a:r>
          </a:p>
        </c:rich>
      </c:tx>
      <c:overlay val="0"/>
      <c:spPr>
        <a:noFill/>
        <a:ln>
          <a:noFill/>
        </a:ln>
        <a:effectLst/>
      </c:spPr>
      <c:txPr>
        <a:bodyPr rot="0" spcFirstLastPara="1" vertOverflow="ellipsis" vert="horz" wrap="square" anchor="ctr" anchorCtr="1"/>
        <a:lstStyle/>
        <a:p>
          <a:pPr>
            <a:defRPr sz="1200" b="0" i="0" u="none" strike="noStrike" kern="1200" cap="none" spc="20" baseline="0">
              <a:solidFill>
                <a:schemeClr val="tx1">
                  <a:lumMod val="50000"/>
                  <a:lumOff val="50000"/>
                </a:schemeClr>
              </a:solidFill>
              <a:latin typeface="Arial" panose="020B0604020202020204" pitchFamily="34" charset="0"/>
              <a:ea typeface="+mn-ea"/>
              <a:cs typeface="+mn-cs"/>
            </a:defRPr>
          </a:pPr>
          <a:endParaRPr lang="en-DK"/>
        </a:p>
      </c:txPr>
    </c:title>
    <c:autoTitleDeleted val="0"/>
    <c:plotArea>
      <c:layout/>
      <c:barChart>
        <c:barDir val="col"/>
        <c:grouping val="clustered"/>
        <c:varyColors val="0"/>
        <c:ser>
          <c:idx val="0"/>
          <c:order val="0"/>
          <c:tx>
            <c:strRef>
              <c:f>'UQ-Budget-VolvoSettings'!$P$32</c:f>
              <c:strCache>
                <c:ptCount val="1"/>
                <c:pt idx="0">
                  <c:v>u_SPt</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val>
            <c:numRef>
              <c:f>'UQ-Budget-VolvoSettings'!$P$33</c:f>
              <c:numCache>
                <c:formatCode>0.00</c:formatCode>
                <c:ptCount val="1"/>
                <c:pt idx="0">
                  <c:v>0.86179458154874689</c:v>
                </c:pt>
              </c:numCache>
            </c:numRef>
          </c:val>
          <c:extLst>
            <c:ext xmlns:c16="http://schemas.microsoft.com/office/drawing/2014/chart" uri="{C3380CC4-5D6E-409C-BE32-E72D297353CC}">
              <c16:uniqueId val="{00000000-5E62-E54C-84E0-58FDD49F789F}"/>
            </c:ext>
          </c:extLst>
        </c:ser>
        <c:ser>
          <c:idx val="1"/>
          <c:order val="1"/>
          <c:tx>
            <c:strRef>
              <c:f>'UQ-Budget-VolvoSettings'!$Q$32</c:f>
              <c:strCache>
                <c:ptCount val="1"/>
                <c:pt idx="0">
                  <c:v>u_PtLin</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tx1">
                  <a:lumMod val="50000"/>
                  <a:lumOff val="50000"/>
                </a:schemeClr>
              </a:solidFill>
              <a:round/>
            </a:ln>
            <a:effectLst/>
          </c:spPr>
          <c:invertIfNegative val="0"/>
          <c:val>
            <c:numRef>
              <c:f>'UQ-Budget-VolvoSettings'!$Q$33</c:f>
              <c:numCache>
                <c:formatCode>0.00</c:formatCode>
                <c:ptCount val="1"/>
                <c:pt idx="0">
                  <c:v>33.413251455829204</c:v>
                </c:pt>
              </c:numCache>
            </c:numRef>
          </c:val>
          <c:extLst>
            <c:ext xmlns:c16="http://schemas.microsoft.com/office/drawing/2014/chart" uri="{C3380CC4-5D6E-409C-BE32-E72D297353CC}">
              <c16:uniqueId val="{00000001-5E62-E54C-84E0-58FDD49F789F}"/>
            </c:ext>
          </c:extLst>
        </c:ser>
        <c:ser>
          <c:idx val="3"/>
          <c:order val="2"/>
          <c:tx>
            <c:strRef>
              <c:f>'UQ-Budget-VolvoSettings'!$R$32</c:f>
              <c:strCache>
                <c:ptCount val="1"/>
                <c:pt idx="0">
                  <c:v>u_TS</c:v>
                </c:pt>
              </c:strCache>
            </c:strRef>
          </c:tx>
          <c:spPr>
            <a:gradFill rotWithShape="1">
              <a:gsLst>
                <a:gs pos="0">
                  <a:schemeClr val="accent2">
                    <a:lumMod val="60000"/>
                    <a:lumMod val="110000"/>
                    <a:satMod val="105000"/>
                    <a:tint val="67000"/>
                  </a:schemeClr>
                </a:gs>
                <a:gs pos="50000">
                  <a:schemeClr val="accent2">
                    <a:lumMod val="60000"/>
                    <a:lumMod val="105000"/>
                    <a:satMod val="103000"/>
                    <a:tint val="73000"/>
                  </a:schemeClr>
                </a:gs>
                <a:gs pos="100000">
                  <a:schemeClr val="accent2">
                    <a:lumMod val="60000"/>
                    <a:lumMod val="105000"/>
                    <a:satMod val="109000"/>
                    <a:tint val="81000"/>
                  </a:schemeClr>
                </a:gs>
              </a:gsLst>
              <a:lin ang="5400000" scaled="0"/>
            </a:gradFill>
            <a:ln w="9525" cap="flat" cmpd="sng" algn="ctr">
              <a:solidFill>
                <a:schemeClr val="accent2">
                  <a:lumMod val="60000"/>
                  <a:shade val="95000"/>
                </a:schemeClr>
              </a:solidFill>
              <a:round/>
            </a:ln>
            <a:effectLst/>
          </c:spPr>
          <c:invertIfNegative val="0"/>
          <c:val>
            <c:numRef>
              <c:f>'UQ-Budget-VolvoSettings'!$R$33</c:f>
              <c:numCache>
                <c:formatCode>0.00</c:formatCode>
                <c:ptCount val="1"/>
                <c:pt idx="0">
                  <c:v>0.43641797819858558</c:v>
                </c:pt>
              </c:numCache>
            </c:numRef>
          </c:val>
          <c:extLst>
            <c:ext xmlns:c16="http://schemas.microsoft.com/office/drawing/2014/chart" uri="{C3380CC4-5D6E-409C-BE32-E72D297353CC}">
              <c16:uniqueId val="{00000002-5E62-E54C-84E0-58FDD49F789F}"/>
            </c:ext>
          </c:extLst>
        </c:ser>
        <c:ser>
          <c:idx val="4"/>
          <c:order val="3"/>
          <c:tx>
            <c:strRef>
              <c:f>'UQ-Budget-VolvoSettings'!$S$32</c:f>
              <c:strCache>
                <c:ptCount val="1"/>
                <c:pt idx="0">
                  <c:v>u_Gcamp</c:v>
                </c:pt>
              </c:strCache>
            </c:strRef>
          </c:tx>
          <c:spPr>
            <a:gradFill rotWithShape="1">
              <a:gsLst>
                <a:gs pos="0">
                  <a:schemeClr val="accent4">
                    <a:lumMod val="60000"/>
                    <a:lumMod val="110000"/>
                    <a:satMod val="105000"/>
                    <a:tint val="67000"/>
                  </a:schemeClr>
                </a:gs>
                <a:gs pos="50000">
                  <a:schemeClr val="accent4">
                    <a:lumMod val="60000"/>
                    <a:lumMod val="105000"/>
                    <a:satMod val="103000"/>
                    <a:tint val="73000"/>
                  </a:schemeClr>
                </a:gs>
                <a:gs pos="100000">
                  <a:schemeClr val="accent4">
                    <a:lumMod val="60000"/>
                    <a:lumMod val="105000"/>
                    <a:satMod val="109000"/>
                    <a:tint val="81000"/>
                  </a:schemeClr>
                </a:gs>
              </a:gsLst>
              <a:lin ang="5400000" scaled="0"/>
            </a:gradFill>
            <a:ln w="9525" cap="flat" cmpd="sng" algn="ctr">
              <a:solidFill>
                <a:schemeClr val="accent4">
                  <a:lumMod val="60000"/>
                  <a:shade val="95000"/>
                </a:schemeClr>
              </a:solidFill>
              <a:round/>
            </a:ln>
            <a:effectLst/>
          </c:spPr>
          <c:invertIfNegative val="0"/>
          <c:val>
            <c:numRef>
              <c:f>'UQ-Budget-VolvoSettings'!$S$33</c:f>
              <c:numCache>
                <c:formatCode>0.00</c:formatCode>
                <c:ptCount val="1"/>
                <c:pt idx="0">
                  <c:v>63.542457625714036</c:v>
                </c:pt>
              </c:numCache>
            </c:numRef>
          </c:val>
          <c:extLst>
            <c:ext xmlns:c16="http://schemas.microsoft.com/office/drawing/2014/chart" uri="{C3380CC4-5D6E-409C-BE32-E72D297353CC}">
              <c16:uniqueId val="{00000003-5E62-E54C-84E0-58FDD49F789F}"/>
            </c:ext>
          </c:extLst>
        </c:ser>
        <c:ser>
          <c:idx val="5"/>
          <c:order val="4"/>
          <c:tx>
            <c:strRef>
              <c:f>'UQ-Budget-VolvoSettings'!$T$32</c:f>
              <c:strCache>
                <c:ptCount val="1"/>
                <c:pt idx="0">
                  <c:v>u_VDAQ</c:v>
                </c:pt>
              </c:strCache>
            </c:strRef>
          </c:tx>
          <c:spPr>
            <a:gradFill rotWithShape="1">
              <a:gsLst>
                <a:gs pos="0">
                  <a:schemeClr val="accent6">
                    <a:lumMod val="60000"/>
                    <a:lumMod val="110000"/>
                    <a:satMod val="105000"/>
                    <a:tint val="67000"/>
                  </a:schemeClr>
                </a:gs>
                <a:gs pos="50000">
                  <a:schemeClr val="accent6">
                    <a:lumMod val="60000"/>
                    <a:lumMod val="105000"/>
                    <a:satMod val="103000"/>
                    <a:tint val="73000"/>
                  </a:schemeClr>
                </a:gs>
                <a:gs pos="100000">
                  <a:schemeClr val="accent6">
                    <a:lumMod val="60000"/>
                    <a:lumMod val="105000"/>
                    <a:satMod val="109000"/>
                    <a:tint val="81000"/>
                  </a:schemeClr>
                </a:gs>
              </a:gsLst>
              <a:lin ang="5400000" scaled="0"/>
            </a:gradFill>
            <a:ln w="9525" cap="flat" cmpd="sng" algn="ctr">
              <a:solidFill>
                <a:schemeClr val="accent6">
                  <a:lumMod val="60000"/>
                  <a:shade val="95000"/>
                </a:schemeClr>
              </a:solidFill>
              <a:round/>
            </a:ln>
            <a:effectLst/>
          </c:spPr>
          <c:invertIfNegative val="0"/>
          <c:val>
            <c:numRef>
              <c:f>'UQ-Budget-VolvoSettings'!$T$33</c:f>
              <c:numCache>
                <c:formatCode>0.00</c:formatCode>
                <c:ptCount val="1"/>
                <c:pt idx="0">
                  <c:v>1.7460783587094069</c:v>
                </c:pt>
              </c:numCache>
            </c:numRef>
          </c:val>
          <c:extLst>
            <c:ext xmlns:c16="http://schemas.microsoft.com/office/drawing/2014/chart" uri="{C3380CC4-5D6E-409C-BE32-E72D297353CC}">
              <c16:uniqueId val="{00000004-5E62-E54C-84E0-58FDD49F789F}"/>
            </c:ext>
          </c:extLst>
        </c:ser>
        <c:dLbls>
          <c:showLegendKey val="0"/>
          <c:showVal val="0"/>
          <c:showCatName val="0"/>
          <c:showSerName val="0"/>
          <c:showPercent val="0"/>
          <c:showBubbleSize val="0"/>
        </c:dLbls>
        <c:gapWidth val="150"/>
        <c:axId val="1694439215"/>
        <c:axId val="1920026016"/>
      </c:barChart>
      <c:catAx>
        <c:axId val="1694439215"/>
        <c:scaling>
          <c:orientation val="minMax"/>
        </c:scaling>
        <c:delete val="1"/>
        <c:axPos val="b"/>
        <c:title>
          <c:tx>
            <c:rich>
              <a:bodyPr rot="0" spcFirstLastPara="1" vertOverflow="ellipsis" vert="horz" wrap="square" anchor="ctr" anchorCtr="1"/>
              <a:lstStyle/>
              <a:p>
                <a:pPr>
                  <a:defRPr sz="1000" b="0" i="0" u="none" strike="noStrike" kern="1200" cap="none" baseline="0">
                    <a:solidFill>
                      <a:schemeClr val="tx1">
                        <a:lumMod val="50000"/>
                        <a:lumOff val="50000"/>
                      </a:schemeClr>
                    </a:solidFill>
                    <a:latin typeface="Arial" panose="020B0604020202020204" pitchFamily="34" charset="0"/>
                    <a:ea typeface="+mn-ea"/>
                    <a:cs typeface="+mn-cs"/>
                  </a:defRPr>
                </a:pPr>
                <a:r>
                  <a:rPr lang="en-GB" cap="none" baseline="0"/>
                  <a:t>Uncertainty Components</a:t>
                </a:r>
              </a:p>
            </c:rich>
          </c:tx>
          <c:overlay val="0"/>
          <c:spPr>
            <a:noFill/>
            <a:ln>
              <a:noFill/>
            </a:ln>
            <a:effectLst/>
          </c:spPr>
          <c:txPr>
            <a:bodyPr rot="0" spcFirstLastPara="1" vertOverflow="ellipsis" vert="horz" wrap="square" anchor="ctr" anchorCtr="1"/>
            <a:lstStyle/>
            <a:p>
              <a:pPr>
                <a:defRPr sz="1000" b="0" i="0" u="none" strike="noStrike" kern="1200" cap="none" baseline="0">
                  <a:solidFill>
                    <a:schemeClr val="tx1">
                      <a:lumMod val="50000"/>
                      <a:lumOff val="50000"/>
                    </a:schemeClr>
                  </a:solidFill>
                  <a:latin typeface="Arial" panose="020B0604020202020204" pitchFamily="34" charset="0"/>
                  <a:ea typeface="+mn-ea"/>
                  <a:cs typeface="+mn-cs"/>
                </a:defRPr>
              </a:pPr>
              <a:endParaRPr lang="en-DK"/>
            </a:p>
          </c:txPr>
        </c:title>
        <c:numFmt formatCode="General" sourceLinked="1"/>
        <c:majorTickMark val="none"/>
        <c:minorTickMark val="none"/>
        <c:tickLblPos val="nextTo"/>
        <c:crossAx val="1920026016"/>
        <c:crosses val="autoZero"/>
        <c:auto val="1"/>
        <c:lblAlgn val="ctr"/>
        <c:lblOffset val="100"/>
        <c:noMultiLvlLbl val="0"/>
      </c:catAx>
      <c:valAx>
        <c:axId val="1920026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cap="none" baseline="0">
                    <a:solidFill>
                      <a:schemeClr val="tx1">
                        <a:lumMod val="50000"/>
                        <a:lumOff val="50000"/>
                      </a:schemeClr>
                    </a:solidFill>
                    <a:latin typeface="Arial" panose="020B0604020202020204" pitchFamily="34" charset="0"/>
                    <a:ea typeface="+mn-ea"/>
                    <a:cs typeface="+mn-cs"/>
                  </a:defRPr>
                </a:pPr>
                <a:r>
                  <a:rPr lang="en-GB" cap="none" baseline="0"/>
                  <a:t>Index (Variance) [%]</a:t>
                </a:r>
              </a:p>
            </c:rich>
          </c:tx>
          <c:overlay val="0"/>
          <c:spPr>
            <a:noFill/>
            <a:ln>
              <a:noFill/>
            </a:ln>
            <a:effectLst/>
          </c:spPr>
          <c:txPr>
            <a:bodyPr rot="-5400000" spcFirstLastPara="1" vertOverflow="ellipsis" vert="horz" wrap="square" anchor="ctr" anchorCtr="1"/>
            <a:lstStyle/>
            <a:p>
              <a:pPr>
                <a:defRPr sz="1000" b="0" i="0" u="none" strike="noStrike" kern="1200" cap="none" baseline="0">
                  <a:solidFill>
                    <a:schemeClr val="tx1">
                      <a:lumMod val="50000"/>
                      <a:lumOff val="50000"/>
                    </a:schemeClr>
                  </a:solidFill>
                  <a:latin typeface="Arial" panose="020B0604020202020204" pitchFamily="34" charset="0"/>
                  <a:ea typeface="+mn-ea"/>
                  <a:cs typeface="+mn-cs"/>
                </a:defRPr>
              </a:pPr>
              <a:endParaRPr lang="en-DK"/>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mn-cs"/>
              </a:defRPr>
            </a:pPr>
            <a:endParaRPr lang="en-DK"/>
          </a:p>
        </c:txPr>
        <c:crossAx val="16944392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mn-cs"/>
            </a:defRPr>
          </a:pPr>
          <a:endParaRPr lang="en-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50000"/>
          <a:lumOff val="50000"/>
        </a:schemeClr>
      </a:solidFill>
      <a:round/>
    </a:ln>
    <a:effectLst/>
  </c:spPr>
  <c:txPr>
    <a:bodyPr/>
    <a:lstStyle/>
    <a:p>
      <a:pPr>
        <a:defRPr sz="1000" baseline="0">
          <a:latin typeface="Arial" panose="020B0604020202020204" pitchFamily="34" charset="0"/>
        </a:defRPr>
      </a:pPr>
      <a:endParaRPr lang="en-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Arial" panose="020B0604020202020204" pitchFamily="34" charset="0"/>
                <a:ea typeface="+mn-ea"/>
                <a:cs typeface="+mn-cs"/>
              </a:defRPr>
            </a:pPr>
            <a:r>
              <a:rPr lang="en-US">
                <a:solidFill>
                  <a:sysClr val="windowText" lastClr="000000"/>
                </a:solidFill>
              </a:rPr>
              <a:t>Relative Expanded Uncertainty</a:t>
            </a:r>
          </a:p>
          <a:p>
            <a:pPr>
              <a:defRPr>
                <a:solidFill>
                  <a:sysClr val="windowText" lastClr="000000"/>
                </a:solidFill>
              </a:defRPr>
            </a:pPr>
            <a:r>
              <a:rPr lang="en-US" sz="1200" baseline="0">
                <a:solidFill>
                  <a:sysClr val="windowText" lastClr="000000"/>
                </a:solidFill>
              </a:rPr>
              <a:t>Volvo Settings</a:t>
            </a:r>
            <a:endParaRPr lang="en-US" sz="1200">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Arial" panose="020B0604020202020204" pitchFamily="34" charset="0"/>
              <a:ea typeface="+mn-ea"/>
              <a:cs typeface="+mn-cs"/>
            </a:defRPr>
          </a:pPr>
          <a:endParaRPr lang="en-DK"/>
        </a:p>
      </c:txPr>
    </c:title>
    <c:autoTitleDeleted val="0"/>
    <c:plotArea>
      <c:layout/>
      <c:scatterChart>
        <c:scatterStyle val="lineMarker"/>
        <c:varyColors val="0"/>
        <c:ser>
          <c:idx val="0"/>
          <c:order val="0"/>
          <c:tx>
            <c:strRef>
              <c:f>'Unc.Contributions Analysis-2'!$J$2</c:f>
              <c:strCache>
                <c:ptCount val="1"/>
                <c:pt idx="0">
                  <c:v>Relative Expanded Uncertainty U (k = 2)</c:v>
                </c:pt>
              </c:strCache>
            </c:strRef>
          </c:tx>
          <c:spPr>
            <a:ln w="19050" cap="rnd">
              <a:solidFill>
                <a:srgbClr val="C00000"/>
              </a:solidFill>
              <a:round/>
            </a:ln>
            <a:effectLst/>
          </c:spPr>
          <c:marker>
            <c:symbol val="circle"/>
            <c:size val="5"/>
            <c:spPr>
              <a:solidFill>
                <a:srgbClr val="11377D"/>
              </a:solidFill>
              <a:ln w="9525">
                <a:solidFill>
                  <a:srgbClr val="C00000"/>
                </a:solidFill>
              </a:ln>
              <a:effectLst/>
            </c:spPr>
          </c:marker>
          <c:dLbls>
            <c:dLbl>
              <c:idx val="0"/>
              <c:layout>
                <c:manualLayout>
                  <c:x val="2.2942115832811326E-2"/>
                  <c:y val="-2.4002375290178321E-3"/>
                </c:manualLayout>
              </c:layout>
              <c:numFmt formatCode="#,##0" sourceLinked="0"/>
              <c:spPr>
                <a:solidFill>
                  <a:sysClr val="window" lastClr="FFFFFF"/>
                </a:solidFill>
                <a:ln>
                  <a:solidFill>
                    <a:srgbClr val="C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rgbClr val="FF0000"/>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0-0379-7C4F-8097-BA43BEDE42CF}"/>
                </c:ext>
              </c:extLst>
            </c:dLbl>
            <c:dLbl>
              <c:idx val="1"/>
              <c:layout>
                <c:manualLayout>
                  <c:x val="4.9209753086419755E-2"/>
                  <c:y val="-0.19818462962962971"/>
                </c:manualLayout>
              </c:layout>
              <c:numFmt formatCode="#,##0" sourceLinked="0"/>
              <c:spPr>
                <a:solidFill>
                  <a:sysClr val="window" lastClr="FFFFFF"/>
                </a:solidFill>
                <a:ln>
                  <a:solidFill>
                    <a:srgbClr val="C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rgbClr val="FF0000"/>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0379-7C4F-8097-BA43BEDE42CF}"/>
                </c:ext>
              </c:extLst>
            </c:dLbl>
            <c:dLbl>
              <c:idx val="2"/>
              <c:layout>
                <c:manualLayout>
                  <c:x val="2.6063703703703704E-2"/>
                  <c:y val="-0.15138949205971383"/>
                </c:manualLayout>
              </c:layout>
              <c:numFmt formatCode="#,##0" sourceLinked="0"/>
              <c:spPr>
                <a:solidFill>
                  <a:sysClr val="window" lastClr="FFFFFF"/>
                </a:solidFill>
                <a:ln>
                  <a:solidFill>
                    <a:srgbClr val="C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rgbClr val="FF0000"/>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2-0379-7C4F-8097-BA43BEDE42CF}"/>
                </c:ext>
              </c:extLst>
            </c:dLbl>
            <c:dLbl>
              <c:idx val="3"/>
              <c:layout>
                <c:manualLayout>
                  <c:x val="3.1015061728395032E-2"/>
                  <c:y val="-0.15369296296296298"/>
                </c:manualLayout>
              </c:layout>
              <c:numFmt formatCode="#,##0" sourceLinked="0"/>
              <c:spPr>
                <a:solidFill>
                  <a:sysClr val="window" lastClr="FFFFFF"/>
                </a:solidFill>
                <a:ln>
                  <a:solidFill>
                    <a:srgbClr val="C00000"/>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rgbClr val="FF0000"/>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0379-7C4F-8097-BA43BEDE42CF}"/>
                </c:ext>
              </c:extLst>
            </c:dLbl>
            <c:dLbl>
              <c:idx val="4"/>
              <c:layout>
                <c:manualLayout>
                  <c:x val="4.5457901234567902E-2"/>
                  <c:y val="-0.17553703703703705"/>
                </c:manualLayout>
              </c:layout>
              <c:numFmt formatCode="#,##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0379-7C4F-8097-BA43BEDE42CF}"/>
                </c:ext>
              </c:extLst>
            </c:dLbl>
            <c:dLbl>
              <c:idx val="5"/>
              <c:layout>
                <c:manualLayout>
                  <c:x val="5.8932962962962965E-2"/>
                  <c:y val="-0.16649240740740751"/>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0379-7C4F-8097-BA43BEDE42CF}"/>
                </c:ext>
              </c:extLst>
            </c:dLbl>
            <c:dLbl>
              <c:idx val="6"/>
              <c:layout>
                <c:manualLayout>
                  <c:x val="5.4000000000000027E-2"/>
                  <c:y val="-0.14816666666666675"/>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6-0379-7C4F-8097-BA43BEDE42CF}"/>
                </c:ext>
              </c:extLst>
            </c:dLbl>
            <c:dLbl>
              <c:idx val="7"/>
              <c:layout>
                <c:manualLayout>
                  <c:x val="4.9176049382716053E-2"/>
                  <c:y val="-0.10576074074074074"/>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0379-7C4F-8097-BA43BEDE42CF}"/>
                </c:ext>
              </c:extLst>
            </c:dLbl>
            <c:dLbl>
              <c:idx val="8"/>
              <c:layout>
                <c:manualLayout>
                  <c:x val="3.4974814814814757E-2"/>
                  <c:y val="-5.8687407407407577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8-0379-7C4F-8097-BA43BEDE42CF}"/>
                </c:ext>
              </c:extLst>
            </c:dLbl>
            <c:dLbl>
              <c:idx val="9"/>
              <c:layout>
                <c:manualLayout>
                  <c:x val="-1.9991928153054731E-2"/>
                  <c:y val="-6.8131027827213572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0379-7C4F-8097-BA43BEDE42CF}"/>
                </c:ext>
              </c:extLst>
            </c:dLbl>
            <c:dLbl>
              <c:idx val="10"/>
              <c:layout>
                <c:manualLayout>
                  <c:x val="-1.8454087525896681E-2"/>
                  <c:y val="-6.577919862773802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A-0379-7C4F-8097-BA43BEDE42CF}"/>
                </c:ext>
              </c:extLst>
            </c:dLbl>
            <c:dLbl>
              <c:idx val="11"/>
              <c:layout>
                <c:manualLayout>
                  <c:x val="-1.3840565644422428E-2"/>
                  <c:y val="-6.8131027827213655E-2"/>
                </c:manualLayout>
              </c:layout>
              <c:numFmt formatCode="#,##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0379-7C4F-8097-BA43BEDE42CF}"/>
                </c:ext>
              </c:extLst>
            </c:dLbl>
            <c:dLbl>
              <c:idx val="12"/>
              <c:layout>
                <c:manualLayout>
                  <c:x val="-2.0382716049382715E-2"/>
                  <c:y val="-6.5851851851851856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C-0379-7C4F-8097-BA43BEDE42CF}"/>
                </c:ext>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Arial" panose="020B0604020202020204" pitchFamily="34" charset="0"/>
                    <a:ea typeface="+mn-ea"/>
                    <a:cs typeface="+mn-cs"/>
                  </a:defRPr>
                </a:pPr>
                <a:endParaRPr lang="en-DK"/>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'Unc.Contributions Analysis-2'!$T$4:$T$9</c:f>
              <c:numCache>
                <c:formatCode>0.0</c:formatCode>
                <c:ptCount val="6"/>
                <c:pt idx="0">
                  <c:v>2.5</c:v>
                </c:pt>
                <c:pt idx="1">
                  <c:v>5</c:v>
                </c:pt>
                <c:pt idx="2">
                  <c:v>7.5000000000000009</c:v>
                </c:pt>
                <c:pt idx="3">
                  <c:v>10</c:v>
                </c:pt>
                <c:pt idx="4">
                  <c:v>15.000000000000002</c:v>
                </c:pt>
                <c:pt idx="5">
                  <c:v>20</c:v>
                </c:pt>
              </c:numCache>
            </c:numRef>
          </c:xVal>
          <c:yVal>
            <c:numRef>
              <c:f>'Unc.Contributions Analysis-2'!$J$4:$J$9</c:f>
              <c:numCache>
                <c:formatCode>0</c:formatCode>
                <c:ptCount val="6"/>
                <c:pt idx="0">
                  <c:v>190.7609973279346</c:v>
                </c:pt>
                <c:pt idx="1">
                  <c:v>95.384397048925507</c:v>
                </c:pt>
                <c:pt idx="2">
                  <c:v>63.593929335434026</c:v>
                </c:pt>
                <c:pt idx="3">
                  <c:v>47.699994497869355</c:v>
                </c:pt>
                <c:pt idx="4">
                  <c:v>11.619567151307656</c:v>
                </c:pt>
                <c:pt idx="5" formatCode="0.0">
                  <c:v>8.7395295701499212</c:v>
                </c:pt>
              </c:numCache>
            </c:numRef>
          </c:yVal>
          <c:smooth val="0"/>
          <c:extLst>
            <c:ext xmlns:c16="http://schemas.microsoft.com/office/drawing/2014/chart" uri="{C3380CC4-5D6E-409C-BE32-E72D297353CC}">
              <c16:uniqueId val="{0000000D-0379-7C4F-8097-BA43BEDE42CF}"/>
            </c:ext>
          </c:extLst>
        </c:ser>
        <c:dLbls>
          <c:showLegendKey val="0"/>
          <c:showVal val="0"/>
          <c:showCatName val="0"/>
          <c:showSerName val="0"/>
          <c:showPercent val="0"/>
          <c:showBubbleSize val="0"/>
        </c:dLbls>
        <c:axId val="788478943"/>
        <c:axId val="1026242991"/>
      </c:scatterChart>
      <c:valAx>
        <c:axId val="78847894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mn-cs"/>
                  </a:defRPr>
                </a:pPr>
                <a:r>
                  <a:rPr lang="en-GB">
                    <a:solidFill>
                      <a:sysClr val="windowText" lastClr="000000"/>
                    </a:solidFill>
                  </a:rPr>
                  <a:t>∆Pmax [kPa]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mn-cs"/>
                </a:defRPr>
              </a:pPr>
              <a:endParaRPr lang="en-DK"/>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n-DK"/>
          </a:p>
        </c:txPr>
        <c:crossAx val="1026242991"/>
        <c:crosses val="autoZero"/>
        <c:crossBetween val="midCat"/>
      </c:valAx>
      <c:valAx>
        <c:axId val="10262429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mn-cs"/>
                  </a:defRPr>
                </a:pPr>
                <a:r>
                  <a:rPr lang="en-GB">
                    <a:solidFill>
                      <a:sysClr val="windowText" lastClr="000000"/>
                    </a:solidFill>
                  </a:rPr>
                  <a:t>Relative U (k = 2)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mn-cs"/>
                </a:defRPr>
              </a:pPr>
              <a:endParaRPr lang="en-DK"/>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n-DK"/>
          </a:p>
        </c:txPr>
        <c:crossAx val="7884789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mn-cs"/>
            </a:defRPr>
          </a:pPr>
          <a:endParaRPr lang="en-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50000"/>
          <a:lumOff val="50000"/>
        </a:schemeClr>
      </a:solidFill>
      <a:round/>
    </a:ln>
    <a:effectLst/>
  </c:spPr>
  <c:txPr>
    <a:bodyPr/>
    <a:lstStyle/>
    <a:p>
      <a:pPr>
        <a:defRPr baseline="0">
          <a:latin typeface="Arial" panose="020B0604020202020204" pitchFamily="34" charset="0"/>
        </a:defRPr>
      </a:pPr>
      <a:endParaRPr lang="en-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ysClr val="windowText" lastClr="000000"/>
                </a:solidFill>
                <a:latin typeface="Arial" panose="020B0604020202020204" pitchFamily="34" charset="0"/>
                <a:ea typeface="+mn-ea"/>
                <a:cs typeface="+mn-cs"/>
              </a:defRPr>
            </a:pPr>
            <a:r>
              <a:rPr lang="en-GB" sz="1400">
                <a:solidFill>
                  <a:sysClr val="windowText" lastClr="000000"/>
                </a:solidFill>
              </a:rPr>
              <a:t>Individual Components Uncertainty Contribution </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ysClr val="windowText" lastClr="000000"/>
              </a:solidFill>
              <a:latin typeface="Arial" panose="020B0604020202020204" pitchFamily="34" charset="0"/>
              <a:ea typeface="+mn-ea"/>
              <a:cs typeface="+mn-cs"/>
            </a:defRPr>
          </a:pPr>
          <a:endParaRPr lang="en-DK"/>
        </a:p>
      </c:txPr>
    </c:title>
    <c:autoTitleDeleted val="0"/>
    <c:plotArea>
      <c:layout/>
      <c:barChart>
        <c:barDir val="col"/>
        <c:grouping val="percentStacked"/>
        <c:varyColors val="0"/>
        <c:ser>
          <c:idx val="0"/>
          <c:order val="0"/>
          <c:tx>
            <c:strRef>
              <c:f>'Unc.Contributions Analysis-2'!$L$3</c:f>
              <c:strCache>
                <c:ptCount val="1"/>
                <c:pt idx="0">
                  <c:v>u_SPt</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cat>
            <c:numRef>
              <c:f>'Unc.Contributions Analysis-2'!$T$4:$T$9</c:f>
              <c:numCache>
                <c:formatCode>0.0</c:formatCode>
                <c:ptCount val="6"/>
                <c:pt idx="0">
                  <c:v>2.5</c:v>
                </c:pt>
                <c:pt idx="1">
                  <c:v>5</c:v>
                </c:pt>
                <c:pt idx="2">
                  <c:v>7.5000000000000009</c:v>
                </c:pt>
                <c:pt idx="3">
                  <c:v>10</c:v>
                </c:pt>
                <c:pt idx="4">
                  <c:v>15.000000000000002</c:v>
                </c:pt>
                <c:pt idx="5">
                  <c:v>20</c:v>
                </c:pt>
              </c:numCache>
            </c:numRef>
          </c:cat>
          <c:val>
            <c:numRef>
              <c:f>'Unc.Contributions Analysis-2'!$L$4:$L$9</c:f>
              <c:numCache>
                <c:formatCode>0.00</c:formatCode>
                <c:ptCount val="6"/>
                <c:pt idx="0">
                  <c:v>1.8088422888013853E-3</c:v>
                </c:pt>
                <c:pt idx="1">
                  <c:v>7.2347777444768287E-3</c:v>
                </c:pt>
                <c:pt idx="2">
                  <c:v>1.6276032618186661E-2</c:v>
                </c:pt>
                <c:pt idx="3">
                  <c:v>2.892965227228237E-2</c:v>
                </c:pt>
                <c:pt idx="4">
                  <c:v>0.48752845772703796</c:v>
                </c:pt>
                <c:pt idx="5">
                  <c:v>0.86179458154874689</c:v>
                </c:pt>
              </c:numCache>
            </c:numRef>
          </c:val>
          <c:extLst>
            <c:ext xmlns:c16="http://schemas.microsoft.com/office/drawing/2014/chart" uri="{C3380CC4-5D6E-409C-BE32-E72D297353CC}">
              <c16:uniqueId val="{00000000-B8F0-E14B-BC58-774EA5FE3281}"/>
            </c:ext>
          </c:extLst>
        </c:ser>
        <c:ser>
          <c:idx val="1"/>
          <c:order val="1"/>
          <c:tx>
            <c:strRef>
              <c:f>'Unc.Contributions Analysis-2'!$M$3</c:f>
              <c:strCache>
                <c:ptCount val="1"/>
                <c:pt idx="0">
                  <c:v>u_PtLin</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cat>
            <c:numRef>
              <c:f>'Unc.Contributions Analysis-2'!$T$4:$T$9</c:f>
              <c:numCache>
                <c:formatCode>0.0</c:formatCode>
                <c:ptCount val="6"/>
                <c:pt idx="0">
                  <c:v>2.5</c:v>
                </c:pt>
                <c:pt idx="1">
                  <c:v>5</c:v>
                </c:pt>
                <c:pt idx="2">
                  <c:v>7.5000000000000009</c:v>
                </c:pt>
                <c:pt idx="3">
                  <c:v>10</c:v>
                </c:pt>
                <c:pt idx="4">
                  <c:v>15.000000000000002</c:v>
                </c:pt>
                <c:pt idx="5">
                  <c:v>20</c:v>
                </c:pt>
              </c:numCache>
            </c:numRef>
          </c:cat>
          <c:val>
            <c:numRef>
              <c:f>'Unc.Contributions Analysis-2'!$M$4:$M$9</c:f>
              <c:numCache>
                <c:formatCode>0.00</c:formatCode>
                <c:ptCount val="6"/>
                <c:pt idx="0">
                  <c:v>4.4884424039736599</c:v>
                </c:pt>
                <c:pt idx="1">
                  <c:v>4.4880755238689991</c:v>
                </c:pt>
                <c:pt idx="2">
                  <c:v>4.4874641902913304</c:v>
                </c:pt>
                <c:pt idx="3">
                  <c:v>4.4866086030214571</c:v>
                </c:pt>
                <c:pt idx="4">
                  <c:v>33.604112057281341</c:v>
                </c:pt>
                <c:pt idx="5">
                  <c:v>33.413251455829204</c:v>
                </c:pt>
              </c:numCache>
            </c:numRef>
          </c:val>
          <c:extLst>
            <c:ext xmlns:c16="http://schemas.microsoft.com/office/drawing/2014/chart" uri="{C3380CC4-5D6E-409C-BE32-E72D297353CC}">
              <c16:uniqueId val="{00000001-B8F0-E14B-BC58-774EA5FE3281}"/>
            </c:ext>
          </c:extLst>
        </c:ser>
        <c:ser>
          <c:idx val="3"/>
          <c:order val="2"/>
          <c:tx>
            <c:strRef>
              <c:f>'Unc.Contributions Analysis-2'!$N$3</c:f>
              <c:strCache>
                <c:ptCount val="1"/>
                <c:pt idx="0">
                  <c:v>u_TS</c:v>
                </c:pt>
              </c:strCache>
            </c:strRef>
          </c:tx>
          <c:spPr>
            <a:gradFill rotWithShape="1">
              <a:gsLst>
                <a:gs pos="0">
                  <a:schemeClr val="accent2">
                    <a:lumMod val="60000"/>
                    <a:lumMod val="110000"/>
                    <a:satMod val="105000"/>
                    <a:tint val="67000"/>
                  </a:schemeClr>
                </a:gs>
                <a:gs pos="50000">
                  <a:schemeClr val="accent2">
                    <a:lumMod val="60000"/>
                    <a:lumMod val="105000"/>
                    <a:satMod val="103000"/>
                    <a:tint val="73000"/>
                  </a:schemeClr>
                </a:gs>
                <a:gs pos="100000">
                  <a:schemeClr val="accent2">
                    <a:lumMod val="60000"/>
                    <a:lumMod val="105000"/>
                    <a:satMod val="109000"/>
                    <a:tint val="81000"/>
                  </a:schemeClr>
                </a:gs>
              </a:gsLst>
              <a:lin ang="5400000" scaled="0"/>
            </a:gradFill>
            <a:ln w="9525" cap="flat" cmpd="sng" algn="ctr">
              <a:solidFill>
                <a:schemeClr val="accent2">
                  <a:lumMod val="60000"/>
                  <a:shade val="95000"/>
                </a:schemeClr>
              </a:solidFill>
              <a:round/>
            </a:ln>
            <a:effectLst/>
          </c:spPr>
          <c:invertIfNegative val="0"/>
          <c:cat>
            <c:numRef>
              <c:f>'Unc.Contributions Analysis-2'!$T$4:$T$9</c:f>
              <c:numCache>
                <c:formatCode>0.0</c:formatCode>
                <c:ptCount val="6"/>
                <c:pt idx="0">
                  <c:v>2.5</c:v>
                </c:pt>
                <c:pt idx="1">
                  <c:v>5</c:v>
                </c:pt>
                <c:pt idx="2">
                  <c:v>7.5000000000000009</c:v>
                </c:pt>
                <c:pt idx="3">
                  <c:v>10</c:v>
                </c:pt>
                <c:pt idx="4">
                  <c:v>15.000000000000002</c:v>
                </c:pt>
                <c:pt idx="5">
                  <c:v>20</c:v>
                </c:pt>
              </c:numCache>
            </c:numRef>
          </c:cat>
          <c:val>
            <c:numRef>
              <c:f>'Unc.Contributions Analysis-2'!$N$4:$N$9</c:f>
              <c:numCache>
                <c:formatCode>0.00</c:formatCode>
                <c:ptCount val="6"/>
                <c:pt idx="0">
                  <c:v>9.1600865387217554E-4</c:v>
                </c:pt>
                <c:pt idx="1">
                  <c:v>3.6637351215257148E-3</c:v>
                </c:pt>
                <c:pt idx="2">
                  <c:v>8.2422811658412233E-3</c:v>
                </c:pt>
                <c:pt idx="3">
                  <c:v>1.4650150540478234E-2</c:v>
                </c:pt>
                <c:pt idx="4">
                  <c:v>0.24688735389023034</c:v>
                </c:pt>
                <c:pt idx="5">
                  <c:v>0.43641797819858558</c:v>
                </c:pt>
              </c:numCache>
            </c:numRef>
          </c:val>
          <c:extLst>
            <c:ext xmlns:c16="http://schemas.microsoft.com/office/drawing/2014/chart" uri="{C3380CC4-5D6E-409C-BE32-E72D297353CC}">
              <c16:uniqueId val="{00000002-B8F0-E14B-BC58-774EA5FE3281}"/>
            </c:ext>
          </c:extLst>
        </c:ser>
        <c:ser>
          <c:idx val="4"/>
          <c:order val="3"/>
          <c:tx>
            <c:strRef>
              <c:f>'Unc.Contributions Analysis-2'!$O$3</c:f>
              <c:strCache>
                <c:ptCount val="1"/>
                <c:pt idx="0">
                  <c:v>u_Gcamp</c:v>
                </c:pt>
              </c:strCache>
            </c:strRef>
          </c:tx>
          <c:spPr>
            <a:gradFill rotWithShape="1">
              <a:gsLst>
                <a:gs pos="0">
                  <a:schemeClr val="accent4">
                    <a:lumMod val="60000"/>
                    <a:lumMod val="110000"/>
                    <a:satMod val="105000"/>
                    <a:tint val="67000"/>
                  </a:schemeClr>
                </a:gs>
                <a:gs pos="50000">
                  <a:schemeClr val="accent4">
                    <a:lumMod val="60000"/>
                    <a:lumMod val="105000"/>
                    <a:satMod val="103000"/>
                    <a:tint val="73000"/>
                  </a:schemeClr>
                </a:gs>
                <a:gs pos="100000">
                  <a:schemeClr val="accent4">
                    <a:lumMod val="60000"/>
                    <a:lumMod val="105000"/>
                    <a:satMod val="109000"/>
                    <a:tint val="81000"/>
                  </a:schemeClr>
                </a:gs>
              </a:gsLst>
              <a:lin ang="5400000" scaled="0"/>
            </a:gradFill>
            <a:ln w="9525" cap="flat" cmpd="sng" algn="ctr">
              <a:solidFill>
                <a:schemeClr val="accent4">
                  <a:lumMod val="60000"/>
                  <a:shade val="95000"/>
                </a:schemeClr>
              </a:solidFill>
              <a:round/>
            </a:ln>
            <a:effectLst/>
          </c:spPr>
          <c:invertIfNegative val="0"/>
          <c:cat>
            <c:numRef>
              <c:f>'Unc.Contributions Analysis-2'!$T$4:$T$9</c:f>
              <c:numCache>
                <c:formatCode>0.0</c:formatCode>
                <c:ptCount val="6"/>
                <c:pt idx="0">
                  <c:v>2.5</c:v>
                </c:pt>
                <c:pt idx="1">
                  <c:v>5</c:v>
                </c:pt>
                <c:pt idx="2">
                  <c:v>7.5000000000000009</c:v>
                </c:pt>
                <c:pt idx="3">
                  <c:v>10</c:v>
                </c:pt>
                <c:pt idx="4">
                  <c:v>15.000000000000002</c:v>
                </c:pt>
                <c:pt idx="5">
                  <c:v>20</c:v>
                </c:pt>
              </c:numCache>
            </c:numRef>
          </c:cat>
          <c:val>
            <c:numRef>
              <c:f>'Unc.Contributions Analysis-2'!$O$4:$O$9</c:f>
              <c:numCache>
                <c:formatCode>0.00</c:formatCode>
                <c:ptCount val="6"/>
                <c:pt idx="0">
                  <c:v>95.274279931321942</c:v>
                </c:pt>
                <c:pt idx="1">
                  <c:v>95.266492321579705</c:v>
                </c:pt>
                <c:pt idx="2">
                  <c:v>95.253515800736139</c:v>
                </c:pt>
                <c:pt idx="3">
                  <c:v>95.235354609454447</c:v>
                </c:pt>
                <c:pt idx="4">
                  <c:v>63.905419958075626</c:v>
                </c:pt>
                <c:pt idx="5">
                  <c:v>63.542457625714036</c:v>
                </c:pt>
              </c:numCache>
            </c:numRef>
          </c:val>
          <c:extLst>
            <c:ext xmlns:c16="http://schemas.microsoft.com/office/drawing/2014/chart" uri="{C3380CC4-5D6E-409C-BE32-E72D297353CC}">
              <c16:uniqueId val="{00000003-B8F0-E14B-BC58-774EA5FE3281}"/>
            </c:ext>
          </c:extLst>
        </c:ser>
        <c:ser>
          <c:idx val="5"/>
          <c:order val="4"/>
          <c:tx>
            <c:strRef>
              <c:f>'Unc.Contributions Analysis-2'!$P$3</c:f>
              <c:strCache>
                <c:ptCount val="1"/>
                <c:pt idx="0">
                  <c:v>u_VDAQ</c:v>
                </c:pt>
              </c:strCache>
            </c:strRef>
          </c:tx>
          <c:spPr>
            <a:gradFill rotWithShape="1">
              <a:gsLst>
                <a:gs pos="0">
                  <a:schemeClr val="accent6">
                    <a:lumMod val="60000"/>
                    <a:lumMod val="110000"/>
                    <a:satMod val="105000"/>
                    <a:tint val="67000"/>
                  </a:schemeClr>
                </a:gs>
                <a:gs pos="50000">
                  <a:schemeClr val="accent6">
                    <a:lumMod val="60000"/>
                    <a:lumMod val="105000"/>
                    <a:satMod val="103000"/>
                    <a:tint val="73000"/>
                  </a:schemeClr>
                </a:gs>
                <a:gs pos="100000">
                  <a:schemeClr val="accent6">
                    <a:lumMod val="60000"/>
                    <a:lumMod val="105000"/>
                    <a:satMod val="109000"/>
                    <a:tint val="81000"/>
                  </a:schemeClr>
                </a:gs>
              </a:gsLst>
              <a:lin ang="5400000" scaled="0"/>
            </a:gradFill>
            <a:ln w="9525" cap="flat" cmpd="sng" algn="ctr">
              <a:solidFill>
                <a:schemeClr val="accent6">
                  <a:lumMod val="60000"/>
                  <a:shade val="95000"/>
                </a:schemeClr>
              </a:solidFill>
              <a:round/>
            </a:ln>
            <a:effectLst/>
          </c:spPr>
          <c:invertIfNegative val="0"/>
          <c:cat>
            <c:numRef>
              <c:f>'Unc.Contributions Analysis-2'!$T$4:$T$9</c:f>
              <c:numCache>
                <c:formatCode>0.0</c:formatCode>
                <c:ptCount val="6"/>
                <c:pt idx="0">
                  <c:v>2.5</c:v>
                </c:pt>
                <c:pt idx="1">
                  <c:v>5</c:v>
                </c:pt>
                <c:pt idx="2">
                  <c:v>7.5000000000000009</c:v>
                </c:pt>
                <c:pt idx="3">
                  <c:v>10</c:v>
                </c:pt>
                <c:pt idx="4">
                  <c:v>15.000000000000002</c:v>
                </c:pt>
                <c:pt idx="5">
                  <c:v>20</c:v>
                </c:pt>
              </c:numCache>
            </c:numRef>
          </c:cat>
          <c:val>
            <c:numRef>
              <c:f>'Unc.Contributions Analysis-2'!$P$4:$P$9</c:f>
              <c:numCache>
                <c:formatCode>0.00</c:formatCode>
                <c:ptCount val="6"/>
                <c:pt idx="0">
                  <c:v>0.2345528137617022</c:v>
                </c:pt>
                <c:pt idx="1">
                  <c:v>0.23453364168526314</c:v>
                </c:pt>
                <c:pt idx="2">
                  <c:v>0.23450169518848685</c:v>
                </c:pt>
                <c:pt idx="3">
                  <c:v>0.23445698471133117</c:v>
                </c:pt>
                <c:pt idx="4">
                  <c:v>1.756052173025753</c:v>
                </c:pt>
                <c:pt idx="5">
                  <c:v>1.7460783587094069</c:v>
                </c:pt>
              </c:numCache>
            </c:numRef>
          </c:val>
          <c:extLst>
            <c:ext xmlns:c16="http://schemas.microsoft.com/office/drawing/2014/chart" uri="{C3380CC4-5D6E-409C-BE32-E72D297353CC}">
              <c16:uniqueId val="{00000004-B8F0-E14B-BC58-774EA5FE3281}"/>
            </c:ext>
          </c:extLst>
        </c:ser>
        <c:dLbls>
          <c:showLegendKey val="0"/>
          <c:showVal val="0"/>
          <c:showCatName val="0"/>
          <c:showSerName val="0"/>
          <c:showPercent val="0"/>
          <c:showBubbleSize val="0"/>
        </c:dLbls>
        <c:gapWidth val="150"/>
        <c:overlap val="100"/>
        <c:serLines>
          <c:spPr>
            <a:ln w="9525">
              <a:solidFill>
                <a:schemeClr val="tx1">
                  <a:lumMod val="35000"/>
                  <a:lumOff val="65000"/>
                </a:schemeClr>
              </a:solidFill>
              <a:prstDash val="dash"/>
            </a:ln>
            <a:effectLst/>
          </c:spPr>
        </c:serLines>
        <c:axId val="2094004864"/>
        <c:axId val="2093530768"/>
      </c:barChart>
      <c:catAx>
        <c:axId val="2094004864"/>
        <c:scaling>
          <c:orientation val="minMax"/>
        </c:scaling>
        <c:delete val="0"/>
        <c:axPos val="b"/>
        <c:title>
          <c:tx>
            <c:rich>
              <a:bodyPr rot="0" spcFirstLastPara="1" vertOverflow="ellipsis" vert="horz" wrap="square" anchor="ctr" anchorCtr="1"/>
              <a:lstStyle/>
              <a:p>
                <a:pPr>
                  <a:defRPr sz="1000" b="0" i="0" u="none" strike="noStrike" kern="1200" cap="none" baseline="0">
                    <a:solidFill>
                      <a:sysClr val="windowText" lastClr="000000"/>
                    </a:solidFill>
                    <a:latin typeface="Arial" panose="020B0604020202020204" pitchFamily="34" charset="0"/>
                    <a:ea typeface="+mn-ea"/>
                    <a:cs typeface="+mn-cs"/>
                  </a:defRPr>
                </a:pPr>
                <a:r>
                  <a:rPr lang="en-GB" sz="1000" b="0" i="0" u="none" strike="noStrike" kern="1200" baseline="0">
                    <a:solidFill>
                      <a:sysClr val="windowText" lastClr="000000"/>
                    </a:solidFill>
                    <a:latin typeface="Arial" panose="020B0604020202020204" pitchFamily="34" charset="0"/>
                    <a:cs typeface="Arial" panose="020B0604020202020204" pitchFamily="34" charset="0"/>
                  </a:rPr>
                  <a:t>∆Pmax [kPa]</a:t>
                </a:r>
              </a:p>
            </c:rich>
          </c:tx>
          <c:layout>
            <c:manualLayout>
              <c:xMode val="edge"/>
              <c:yMode val="edge"/>
              <c:x val="0.49090638888888888"/>
              <c:y val="0.89994444444444444"/>
            </c:manualLayout>
          </c:layout>
          <c:overlay val="0"/>
          <c:spPr>
            <a:noFill/>
            <a:ln>
              <a:noFill/>
            </a:ln>
            <a:effectLst/>
          </c:spPr>
          <c:txPr>
            <a:bodyPr rot="0" spcFirstLastPara="1" vertOverflow="ellipsis" vert="horz" wrap="square" anchor="ctr" anchorCtr="1"/>
            <a:lstStyle/>
            <a:p>
              <a:pPr>
                <a:defRPr sz="1000" b="0" i="0" u="none" strike="noStrike" kern="1200" cap="none" baseline="0">
                  <a:solidFill>
                    <a:sysClr val="windowText" lastClr="000000"/>
                  </a:solidFill>
                  <a:latin typeface="Arial" panose="020B0604020202020204" pitchFamily="34" charset="0"/>
                  <a:ea typeface="+mn-ea"/>
                  <a:cs typeface="+mn-cs"/>
                </a:defRPr>
              </a:pPr>
              <a:endParaRPr lang="en-DK"/>
            </a:p>
          </c:txPr>
        </c:title>
        <c:numFmt formatCode="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mn-cs"/>
              </a:defRPr>
            </a:pPr>
            <a:endParaRPr lang="en-DK"/>
          </a:p>
        </c:txPr>
        <c:crossAx val="2093530768"/>
        <c:crosses val="autoZero"/>
        <c:auto val="1"/>
        <c:lblAlgn val="ctr"/>
        <c:lblOffset val="100"/>
        <c:noMultiLvlLbl val="0"/>
      </c:catAx>
      <c:valAx>
        <c:axId val="20935307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cap="none" baseline="0">
                    <a:solidFill>
                      <a:sysClr val="windowText" lastClr="000000"/>
                    </a:solidFill>
                    <a:latin typeface="Arial" panose="020B0604020202020204" pitchFamily="34" charset="0"/>
                    <a:ea typeface="+mn-ea"/>
                    <a:cs typeface="+mn-cs"/>
                  </a:defRPr>
                </a:pPr>
                <a:r>
                  <a:rPr lang="en-GB" cap="none" baseline="0">
                    <a:solidFill>
                      <a:sysClr val="windowText" lastClr="000000"/>
                    </a:solidFill>
                  </a:rPr>
                  <a:t>Index (Variance) [%]</a:t>
                </a:r>
              </a:p>
            </c:rich>
          </c:tx>
          <c:overlay val="0"/>
          <c:spPr>
            <a:noFill/>
            <a:ln>
              <a:noFill/>
            </a:ln>
            <a:effectLst/>
          </c:spPr>
          <c:txPr>
            <a:bodyPr rot="-5400000" spcFirstLastPara="1" vertOverflow="ellipsis" vert="horz" wrap="square" anchor="ctr" anchorCtr="1"/>
            <a:lstStyle/>
            <a:p>
              <a:pPr>
                <a:defRPr sz="1000" b="0" i="0" u="none" strike="noStrike" kern="1200" cap="none" baseline="0">
                  <a:solidFill>
                    <a:sysClr val="windowText" lastClr="000000"/>
                  </a:solidFill>
                  <a:latin typeface="Arial" panose="020B0604020202020204" pitchFamily="34" charset="0"/>
                  <a:ea typeface="+mn-ea"/>
                  <a:cs typeface="+mn-cs"/>
                </a:defRPr>
              </a:pPr>
              <a:endParaRPr lang="en-DK"/>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mn-cs"/>
              </a:defRPr>
            </a:pPr>
            <a:endParaRPr lang="en-DK"/>
          </a:p>
        </c:txPr>
        <c:crossAx val="2094004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50000"/>
                  <a:lumOff val="50000"/>
                </a:schemeClr>
              </a:solidFill>
              <a:latin typeface="Arial" panose="020B0604020202020204" pitchFamily="34" charset="0"/>
              <a:ea typeface="+mn-ea"/>
              <a:cs typeface="+mn-cs"/>
            </a:defRPr>
          </a:pPr>
          <a:endParaRPr lang="en-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50000"/>
          <a:lumOff val="50000"/>
        </a:schemeClr>
      </a:solidFill>
      <a:round/>
    </a:ln>
    <a:effectLst/>
  </c:spPr>
  <c:txPr>
    <a:bodyPr/>
    <a:lstStyle/>
    <a:p>
      <a:pPr>
        <a:defRPr sz="1000" baseline="0">
          <a:latin typeface="Arial" panose="020B0604020202020204" pitchFamily="34" charset="0"/>
        </a:defRPr>
      </a:pPr>
      <a:endParaRPr lang="en-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oneCellAnchor>
    <xdr:from>
      <xdr:col>2</xdr:col>
      <xdr:colOff>0</xdr:colOff>
      <xdr:row>73</xdr:row>
      <xdr:rowOff>0</xdr:rowOff>
    </xdr:from>
    <xdr:ext cx="65" cy="172227"/>
    <xdr:sp macro="" textlink="">
      <xdr:nvSpPr>
        <xdr:cNvPr id="2" name="TextBox 1">
          <a:extLst>
            <a:ext uri="{FF2B5EF4-FFF2-40B4-BE49-F238E27FC236}">
              <a16:creationId xmlns:a16="http://schemas.microsoft.com/office/drawing/2014/main" id="{18320AB6-6485-8F47-A559-BF232254710A}"/>
            </a:ext>
          </a:extLst>
        </xdr:cNvPr>
        <xdr:cNvSpPr txBox="1"/>
      </xdr:nvSpPr>
      <xdr:spPr>
        <a:xfrm>
          <a:off x="2463800" y="267208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3</xdr:col>
      <xdr:colOff>235857</xdr:colOff>
      <xdr:row>33</xdr:row>
      <xdr:rowOff>145142</xdr:rowOff>
    </xdr:from>
    <xdr:to>
      <xdr:col>11</xdr:col>
      <xdr:colOff>1755021</xdr:colOff>
      <xdr:row>56</xdr:row>
      <xdr:rowOff>127000</xdr:rowOff>
    </xdr:to>
    <xdr:graphicFrame macro="">
      <xdr:nvGraphicFramePr>
        <xdr:cNvPr id="3" name="Chart 2">
          <a:extLst>
            <a:ext uri="{FF2B5EF4-FFF2-40B4-BE49-F238E27FC236}">
              <a16:creationId xmlns:a16="http://schemas.microsoft.com/office/drawing/2014/main" id="{870B870E-85FF-4347-858B-FB4438CF8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141110</xdr:colOff>
      <xdr:row>16</xdr:row>
      <xdr:rowOff>155746</xdr:rowOff>
    </xdr:from>
    <xdr:to>
      <xdr:col>9</xdr:col>
      <xdr:colOff>649332</xdr:colOff>
      <xdr:row>45</xdr:row>
      <xdr:rowOff>108857</xdr:rowOff>
    </xdr:to>
    <xdr:graphicFrame macro="">
      <xdr:nvGraphicFramePr>
        <xdr:cNvPr id="2" name="Chart 1">
          <a:extLst>
            <a:ext uri="{FF2B5EF4-FFF2-40B4-BE49-F238E27FC236}">
              <a16:creationId xmlns:a16="http://schemas.microsoft.com/office/drawing/2014/main" id="{670F850B-58EC-E842-88E2-77DD7CF25C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708887</xdr:colOff>
      <xdr:row>16</xdr:row>
      <xdr:rowOff>155224</xdr:rowOff>
    </xdr:from>
    <xdr:to>
      <xdr:col>19</xdr:col>
      <xdr:colOff>793776</xdr:colOff>
      <xdr:row>45</xdr:row>
      <xdr:rowOff>108335</xdr:rowOff>
    </xdr:to>
    <xdr:graphicFrame macro="">
      <xdr:nvGraphicFramePr>
        <xdr:cNvPr id="3" name="Chart 2">
          <a:extLst>
            <a:ext uri="{FF2B5EF4-FFF2-40B4-BE49-F238E27FC236}">
              <a16:creationId xmlns:a16="http://schemas.microsoft.com/office/drawing/2014/main" id="{0DE7DD39-745E-BF4C-9BB4-B98592C86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812800</xdr:colOff>
          <xdr:row>1</xdr:row>
          <xdr:rowOff>0</xdr:rowOff>
        </xdr:from>
        <xdr:to>
          <xdr:col>4</xdr:col>
          <xdr:colOff>0</xdr:colOff>
          <xdr:row>3</xdr:row>
          <xdr:rowOff>101600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98A01B9D-3205-6246-892C-264B377273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0" i="0" u="none" strike="noStrike" baseline="0">
                  <a:solidFill>
                    <a:srgbClr val="000000"/>
                  </a:solidFill>
                  <a:latin typeface="ArialMT" charset="0"/>
                </a:rPr>
                <a:t>Update Calculations &amp; Plots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0</xdr:colOff>
      <xdr:row>73</xdr:row>
      <xdr:rowOff>0</xdr:rowOff>
    </xdr:from>
    <xdr:ext cx="65" cy="172227"/>
    <xdr:sp macro="" textlink="">
      <xdr:nvSpPr>
        <xdr:cNvPr id="2" name="TextBox 1">
          <a:extLst>
            <a:ext uri="{FF2B5EF4-FFF2-40B4-BE49-F238E27FC236}">
              <a16:creationId xmlns:a16="http://schemas.microsoft.com/office/drawing/2014/main" id="{18C69650-0F70-924B-B21C-60818D0F6E6C}"/>
            </a:ext>
          </a:extLst>
        </xdr:cNvPr>
        <xdr:cNvSpPr txBox="1"/>
      </xdr:nvSpPr>
      <xdr:spPr>
        <a:xfrm>
          <a:off x="2463800" y="267208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twoCellAnchor>
    <xdr:from>
      <xdr:col>3</xdr:col>
      <xdr:colOff>235857</xdr:colOff>
      <xdr:row>33</xdr:row>
      <xdr:rowOff>145142</xdr:rowOff>
    </xdr:from>
    <xdr:to>
      <xdr:col>11</xdr:col>
      <xdr:colOff>1755021</xdr:colOff>
      <xdr:row>56</xdr:row>
      <xdr:rowOff>127000</xdr:rowOff>
    </xdr:to>
    <xdr:graphicFrame macro="">
      <xdr:nvGraphicFramePr>
        <xdr:cNvPr id="3" name="Chart 2">
          <a:extLst>
            <a:ext uri="{FF2B5EF4-FFF2-40B4-BE49-F238E27FC236}">
              <a16:creationId xmlns:a16="http://schemas.microsoft.com/office/drawing/2014/main" id="{F102965D-5266-3C44-962F-E2AB4F963B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141110</xdr:colOff>
      <xdr:row>16</xdr:row>
      <xdr:rowOff>155746</xdr:rowOff>
    </xdr:from>
    <xdr:to>
      <xdr:col>9</xdr:col>
      <xdr:colOff>649332</xdr:colOff>
      <xdr:row>45</xdr:row>
      <xdr:rowOff>108857</xdr:rowOff>
    </xdr:to>
    <xdr:graphicFrame macro="">
      <xdr:nvGraphicFramePr>
        <xdr:cNvPr id="2" name="Chart 1">
          <a:extLst>
            <a:ext uri="{FF2B5EF4-FFF2-40B4-BE49-F238E27FC236}">
              <a16:creationId xmlns:a16="http://schemas.microsoft.com/office/drawing/2014/main" id="{A2CC9192-2127-5741-9991-7DCAEDB9E0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708887</xdr:colOff>
      <xdr:row>16</xdr:row>
      <xdr:rowOff>155224</xdr:rowOff>
    </xdr:from>
    <xdr:to>
      <xdr:col>19</xdr:col>
      <xdr:colOff>793776</xdr:colOff>
      <xdr:row>45</xdr:row>
      <xdr:rowOff>108335</xdr:rowOff>
    </xdr:to>
    <xdr:graphicFrame macro="">
      <xdr:nvGraphicFramePr>
        <xdr:cNvPr id="3" name="Chart 2">
          <a:extLst>
            <a:ext uri="{FF2B5EF4-FFF2-40B4-BE49-F238E27FC236}">
              <a16:creationId xmlns:a16="http://schemas.microsoft.com/office/drawing/2014/main" id="{315C39AA-6BA7-5F46-A948-2A2C0AFDAC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812800</xdr:colOff>
          <xdr:row>1</xdr:row>
          <xdr:rowOff>0</xdr:rowOff>
        </xdr:from>
        <xdr:to>
          <xdr:col>4</xdr:col>
          <xdr:colOff>0</xdr:colOff>
          <xdr:row>3</xdr:row>
          <xdr:rowOff>101600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7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0" i="0" u="none" strike="noStrike" baseline="0">
                  <a:solidFill>
                    <a:srgbClr val="000000"/>
                  </a:solidFill>
                  <a:latin typeface="ArialMT" charset="0"/>
                </a:rPr>
                <a:t>Update Calculations &amp; Plots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avier Camacho" id="{A944CA44-F624-4B43-8356-4BC0E06703FE}" userId="S::ja5847ca@lu.se::e90ca49b-3349-480c-a815-8477b35cf44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0" dT="2025-03-21T13:37:40.66" personId="{A944CA44-F624-4B43-8356-4BC0E06703FE}" id="{B58F6E8B-07DE-C741-9E8D-521F5911ACA4}">
    <text>Fixed value, so the DAQ-Logger do not need to be adjusted unless charge ≤ 2 [pC]</text>
  </threadedComment>
  <threadedComment ref="H10" dT="2025-03-21T13:40:26.79" personId="{A944CA44-F624-4B43-8356-4BC0E06703FE}" id="{0EB930C7-A449-6148-BFDD-2AE23317F201}">
    <text>Fixed value. DAQ-Logger do not need to be adjusted unless charge ≤ 2 [pC], where the specific Voltage range is selected, based on the charge Q_in and the corresponding Expected DAQ - Voltage Reading . This is due to the amplifier gain limitations to keep the output voltage at 10 [V].</text>
  </threadedComment>
  <threadedComment ref="H31" dT="2025-03-21T14:12:48.94" personId="{A944CA44-F624-4B43-8356-4BC0E06703FE}" id="{971F799B-226F-C447-94B7-FF56227A35B8}">
    <text>This cell value should match the Expected ∆Pmax.</text>
  </threadedComment>
</ThreadedComments>
</file>

<file path=xl/threadedComments/threadedComment2.xml><?xml version="1.0" encoding="utf-8"?>
<ThreadedComments xmlns="http://schemas.microsoft.com/office/spreadsheetml/2018/threadedcomments" xmlns:x="http://schemas.openxmlformats.org/spreadsheetml/2006/main">
  <threadedComment ref="E10" dT="2025-03-21T13:37:40.66" personId="{A944CA44-F624-4B43-8356-4BC0E06703FE}" id="{CA162DF7-C66F-C24B-8383-5BE439640963}">
    <text>Fixed value, so the DAQ-Logger do not need to be adjusted unless charge ≤ 2 [pC]</text>
  </threadedComment>
  <threadedComment ref="H10" dT="2025-03-21T13:40:26.79" personId="{A944CA44-F624-4B43-8356-4BC0E06703FE}" id="{22997E6C-CB29-5D42-9224-C65960D90C3B}">
    <text>Fixed value. DAQ-Logger do not need to be adjusted unless charge ≤ 2 [pC], where the specific Voltage range is selected, based on the charge Q_in and the corresponding Expected DAQ - Voltage Reading . This is due to the amplifier gain limitations to keep the output voltage at 10 [V].</text>
  </threadedComment>
  <threadedComment ref="H31" dT="2025-03-21T14:12:48.94" personId="{A944CA44-F624-4B43-8356-4BC0E06703FE}" id="{9F01BCDA-030D-B943-AE51-2893C9482781}">
    <text>This cell value should match the Expected ∆Pmax.</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3.xml"/><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D3EB3-EDC2-9D46-BE9C-197A35F06F27}">
  <sheetPr codeName="Sheet12"/>
  <dimension ref="A2:Y126"/>
  <sheetViews>
    <sheetView showGridLines="0" topLeftCell="B1" zoomScale="60" zoomScaleNormal="60" workbookViewId="0">
      <selection activeCell="K27" sqref="K27"/>
    </sheetView>
  </sheetViews>
  <sheetFormatPr baseColWidth="10" defaultRowHeight="14"/>
  <cols>
    <col min="1" max="1" width="16.1640625" style="5" bestFit="1" customWidth="1"/>
    <col min="2" max="2" width="16.1640625" style="5" customWidth="1"/>
    <col min="3" max="3" width="12.6640625" style="5" bestFit="1" customWidth="1"/>
    <col min="4" max="4" width="3.5" style="5" bestFit="1" customWidth="1"/>
    <col min="5" max="5" width="49.33203125" style="5" bestFit="1" customWidth="1"/>
    <col min="6" max="6" width="26.6640625" style="5" bestFit="1" customWidth="1"/>
    <col min="7" max="7" width="10" style="5" customWidth="1"/>
    <col min="8" max="8" width="39.33203125" style="5" bestFit="1" customWidth="1"/>
    <col min="9" max="9" width="8" style="5" bestFit="1" customWidth="1"/>
    <col min="10" max="10" width="12.6640625" style="5" bestFit="1" customWidth="1"/>
    <col min="11" max="11" width="31" style="5" bestFit="1" customWidth="1"/>
    <col min="12" max="12" width="20.5" style="5" bestFit="1" customWidth="1"/>
    <col min="13" max="13" width="13.1640625" style="5" bestFit="1" customWidth="1"/>
    <col min="14" max="14" width="21.5" style="5" customWidth="1"/>
    <col min="15" max="15" width="35.6640625" style="5" customWidth="1"/>
    <col min="16" max="16" width="25.1640625" style="5" customWidth="1"/>
    <col min="17" max="17" width="23.33203125" style="5" bestFit="1" customWidth="1"/>
    <col min="18" max="18" width="26.6640625" style="5" customWidth="1"/>
    <col min="19" max="20" width="21.5" style="5" bestFit="1" customWidth="1"/>
    <col min="21" max="21" width="29.5" style="5" customWidth="1"/>
    <col min="22" max="22" width="44.83203125" style="5" customWidth="1"/>
    <col min="23" max="23" width="28.1640625" style="60" customWidth="1"/>
    <col min="24" max="24" width="24.1640625" style="5" customWidth="1"/>
    <col min="25" max="25" width="20.6640625" style="5" customWidth="1"/>
    <col min="26" max="16384" width="10.83203125" style="5"/>
  </cols>
  <sheetData>
    <row r="2" spans="3:25" ht="14" customHeight="1">
      <c r="D2" s="114" t="s">
        <v>3</v>
      </c>
      <c r="E2" s="114"/>
      <c r="F2" s="114"/>
      <c r="G2" s="114"/>
      <c r="H2" s="114"/>
      <c r="I2" s="114"/>
      <c r="J2" s="114"/>
      <c r="K2" s="114"/>
      <c r="L2" s="114"/>
      <c r="M2" s="114"/>
      <c r="N2" s="114"/>
      <c r="O2" s="114"/>
      <c r="P2" s="114"/>
      <c r="Q2" s="114"/>
      <c r="R2" s="114"/>
      <c r="S2" s="114"/>
      <c r="T2" s="114"/>
      <c r="U2" s="114"/>
      <c r="V2" s="114"/>
      <c r="W2" s="114"/>
      <c r="X2" s="114"/>
      <c r="Y2" s="114"/>
    </row>
    <row r="3" spans="3:25" ht="14" customHeight="1">
      <c r="D3" s="114"/>
      <c r="E3" s="114"/>
      <c r="F3" s="114"/>
      <c r="G3" s="114"/>
      <c r="H3" s="114"/>
      <c r="I3" s="114"/>
      <c r="J3" s="114"/>
      <c r="K3" s="114"/>
      <c r="L3" s="114"/>
      <c r="M3" s="114"/>
      <c r="N3" s="114"/>
      <c r="O3" s="114"/>
      <c r="P3" s="114"/>
      <c r="Q3" s="114"/>
      <c r="R3" s="114"/>
      <c r="S3" s="114"/>
      <c r="T3" s="114"/>
      <c r="U3" s="114"/>
      <c r="V3" s="114"/>
      <c r="W3" s="114"/>
      <c r="X3" s="114"/>
      <c r="Y3" s="114"/>
    </row>
    <row r="4" spans="3:25" ht="14" customHeight="1">
      <c r="D4" s="114"/>
      <c r="E4" s="114"/>
      <c r="F4" s="114"/>
      <c r="G4" s="114"/>
      <c r="H4" s="114"/>
      <c r="I4" s="114"/>
      <c r="J4" s="114"/>
      <c r="K4" s="114"/>
      <c r="L4" s="114"/>
      <c r="M4" s="114"/>
      <c r="N4" s="114"/>
      <c r="O4" s="114"/>
      <c r="P4" s="114"/>
      <c r="Q4" s="114"/>
      <c r="R4" s="114"/>
      <c r="S4" s="114"/>
      <c r="T4" s="114"/>
      <c r="U4" s="114"/>
      <c r="V4" s="114"/>
      <c r="W4" s="114"/>
      <c r="X4" s="114"/>
      <c r="Y4" s="114"/>
    </row>
    <row r="5" spans="3:25" ht="14" customHeight="1">
      <c r="D5" s="114"/>
      <c r="E5" s="114"/>
      <c r="F5" s="114"/>
      <c r="G5" s="114"/>
      <c r="H5" s="114"/>
      <c r="I5" s="114"/>
      <c r="J5" s="114"/>
      <c r="K5" s="114"/>
      <c r="L5" s="114"/>
      <c r="M5" s="114"/>
      <c r="N5" s="114"/>
      <c r="O5" s="114"/>
      <c r="P5" s="114"/>
      <c r="Q5" s="114"/>
      <c r="R5" s="114"/>
      <c r="S5" s="114"/>
      <c r="T5" s="114"/>
      <c r="U5" s="114"/>
      <c r="V5" s="114"/>
      <c r="W5" s="114"/>
      <c r="X5" s="114"/>
      <c r="Y5" s="114"/>
    </row>
    <row r="6" spans="3:25" s="12" customFormat="1" ht="50" customHeight="1">
      <c r="E6" s="80"/>
    </row>
    <row r="7" spans="3:25" ht="50" customHeight="1">
      <c r="E7" s="105" t="s">
        <v>44</v>
      </c>
      <c r="F7" s="106"/>
      <c r="G7" s="106"/>
      <c r="H7" s="106"/>
      <c r="I7" s="106"/>
      <c r="J7" s="107"/>
      <c r="K7" s="103" t="s">
        <v>106</v>
      </c>
      <c r="L7" s="103"/>
      <c r="M7" s="103"/>
      <c r="N7" s="103"/>
      <c r="O7" s="103"/>
      <c r="P7" s="103"/>
      <c r="Q7" s="103"/>
      <c r="R7" s="103"/>
      <c r="S7" s="103"/>
      <c r="T7" s="103"/>
      <c r="U7" s="103"/>
      <c r="V7" s="103"/>
      <c r="W7" s="103"/>
      <c r="X7" s="103"/>
      <c r="Y7" s="103"/>
    </row>
    <row r="8" spans="3:25" ht="41" customHeight="1">
      <c r="E8" s="98" t="s">
        <v>5</v>
      </c>
      <c r="F8" s="98"/>
      <c r="G8" s="98"/>
      <c r="H8" s="98" t="s">
        <v>97</v>
      </c>
      <c r="I8" s="98"/>
      <c r="J8" s="98"/>
      <c r="K8" s="112" t="s">
        <v>104</v>
      </c>
      <c r="L8" s="113"/>
      <c r="M8" s="113"/>
      <c r="N8" s="113"/>
      <c r="O8" s="113"/>
      <c r="P8" s="113"/>
      <c r="Q8" s="97"/>
      <c r="R8" s="97" t="s">
        <v>105</v>
      </c>
      <c r="S8" s="98"/>
      <c r="T8" s="98"/>
      <c r="U8" s="98"/>
      <c r="V8" s="98"/>
      <c r="W8" s="98"/>
      <c r="X8" s="98" t="s">
        <v>97</v>
      </c>
      <c r="Y8" s="98"/>
    </row>
    <row r="9" spans="3:25" ht="34" customHeight="1">
      <c r="C9" s="115"/>
      <c r="D9" s="115"/>
      <c r="E9" s="77" t="s">
        <v>138</v>
      </c>
      <c r="F9" s="33">
        <v>0.2</v>
      </c>
      <c r="G9" s="47" t="s">
        <v>0</v>
      </c>
      <c r="H9" s="77" t="s">
        <v>103</v>
      </c>
      <c r="I9" s="13">
        <v>16</v>
      </c>
      <c r="J9" s="14" t="s">
        <v>62</v>
      </c>
      <c r="K9" s="117" t="s">
        <v>111</v>
      </c>
      <c r="L9" s="118"/>
      <c r="M9" s="79" t="s">
        <v>112</v>
      </c>
      <c r="N9" s="110" t="s">
        <v>116</v>
      </c>
      <c r="O9" s="111"/>
      <c r="P9" s="79" t="s">
        <v>115</v>
      </c>
      <c r="Q9" s="79" t="s">
        <v>117</v>
      </c>
      <c r="R9" s="116" t="s">
        <v>54</v>
      </c>
      <c r="S9" s="117" t="s">
        <v>78</v>
      </c>
      <c r="T9" s="118"/>
      <c r="U9" s="79" t="s">
        <v>79</v>
      </c>
      <c r="V9" s="79" t="s">
        <v>131</v>
      </c>
      <c r="W9" s="79" t="s">
        <v>16</v>
      </c>
      <c r="X9" s="79" t="s">
        <v>59</v>
      </c>
      <c r="Y9" s="79" t="s">
        <v>81</v>
      </c>
    </row>
    <row r="10" spans="3:25" ht="30" customHeight="1">
      <c r="C10" s="115"/>
      <c r="D10" s="115"/>
      <c r="E10" s="77" t="s">
        <v>139</v>
      </c>
      <c r="F10" s="48">
        <v>10</v>
      </c>
      <c r="G10" s="47" t="s">
        <v>45</v>
      </c>
      <c r="H10" s="77" t="s">
        <v>139</v>
      </c>
      <c r="I10" s="48" cm="1">
        <f t="array" ref="I10">IF(F77 &gt; 2, F10,IFERROR(_xlfn.XLOOKUP(F28, I11:I17, I11:I17, MAX(I11:I17), 1),IF(F28 &gt; MAX(I11:I17), MAX(I11:I17), INDEX(I11:I17, MATCH(F28, I11:I17, 1) + 1) )))</f>
        <v>10</v>
      </c>
      <c r="J10" s="14" t="s">
        <v>45</v>
      </c>
      <c r="K10" s="14" t="s">
        <v>14</v>
      </c>
      <c r="L10" s="14" t="s">
        <v>0</v>
      </c>
      <c r="M10" s="14" t="s">
        <v>11</v>
      </c>
      <c r="N10" s="14" t="s">
        <v>113</v>
      </c>
      <c r="O10" s="14" t="s">
        <v>114</v>
      </c>
      <c r="P10" s="14" t="s">
        <v>11</v>
      </c>
      <c r="Q10" s="14" t="s">
        <v>11</v>
      </c>
      <c r="R10" s="116"/>
      <c r="S10" s="14" t="s">
        <v>51</v>
      </c>
      <c r="T10" s="14" t="s">
        <v>52</v>
      </c>
      <c r="U10" s="14" t="s">
        <v>11</v>
      </c>
      <c r="V10" s="14" t="s">
        <v>41</v>
      </c>
      <c r="W10" s="14" t="s">
        <v>118</v>
      </c>
      <c r="X10" s="14" t="s">
        <v>11</v>
      </c>
      <c r="Y10" s="14" t="s">
        <v>11</v>
      </c>
    </row>
    <row r="11" spans="3:25" ht="33" customHeight="1">
      <c r="C11" s="115"/>
      <c r="D11" s="115"/>
      <c r="E11" s="78" t="s">
        <v>140</v>
      </c>
      <c r="F11" s="46">
        <f>(F9)/(F10)</f>
        <v>0.02</v>
      </c>
      <c r="G11" s="14" t="s">
        <v>58</v>
      </c>
      <c r="I11" s="13">
        <v>0.1</v>
      </c>
      <c r="J11" s="14" t="s">
        <v>45</v>
      </c>
      <c r="K11" s="49"/>
      <c r="L11" s="50">
        <v>0</v>
      </c>
      <c r="M11" s="51"/>
      <c r="N11" s="51">
        <v>-80.56</v>
      </c>
      <c r="O11" s="51">
        <v>0.56999999999999995</v>
      </c>
      <c r="P11" s="52">
        <v>0.5</v>
      </c>
      <c r="Q11" s="52">
        <v>0.5</v>
      </c>
      <c r="R11" s="74">
        <v>0</v>
      </c>
      <c r="S11" s="50">
        <v>30</v>
      </c>
      <c r="T11" s="50">
        <v>50</v>
      </c>
      <c r="U11" s="50">
        <v>2</v>
      </c>
      <c r="V11" s="28">
        <f>H76/F73</f>
        <v>1.9334400000000002E-2</v>
      </c>
      <c r="W11" s="51">
        <v>2</v>
      </c>
      <c r="X11" s="13">
        <v>0.1</v>
      </c>
      <c r="Y11" s="41">
        <v>0.1</v>
      </c>
    </row>
    <row r="12" spans="3:25" ht="30" customHeight="1">
      <c r="C12" s="115"/>
      <c r="D12" s="115"/>
      <c r="E12" s="87" t="s">
        <v>136</v>
      </c>
      <c r="F12" s="13">
        <v>0.05</v>
      </c>
      <c r="G12" s="47" t="s">
        <v>0</v>
      </c>
      <c r="I12" s="13">
        <v>0.2</v>
      </c>
      <c r="J12" s="14" t="s">
        <v>45</v>
      </c>
      <c r="K12" s="53" t="s">
        <v>93</v>
      </c>
      <c r="L12" s="13">
        <v>2.5</v>
      </c>
      <c r="M12" s="41">
        <v>0.35</v>
      </c>
      <c r="N12" s="108" t="s">
        <v>110</v>
      </c>
      <c r="O12" s="12"/>
      <c r="P12" s="12"/>
      <c r="Q12" s="71"/>
      <c r="R12" s="74">
        <v>2</v>
      </c>
      <c r="S12" s="50">
        <v>30</v>
      </c>
      <c r="T12" s="50">
        <v>50</v>
      </c>
      <c r="U12" s="50">
        <v>2</v>
      </c>
      <c r="V12" s="34"/>
      <c r="W12" s="34"/>
      <c r="X12" s="54"/>
      <c r="Y12" s="34"/>
    </row>
    <row r="13" spans="3:25" ht="30" customHeight="1">
      <c r="E13" s="88"/>
      <c r="F13" s="13">
        <v>0.1</v>
      </c>
      <c r="G13" s="47" t="s">
        <v>0</v>
      </c>
      <c r="H13" s="12"/>
      <c r="I13" s="13">
        <v>0.5</v>
      </c>
      <c r="J13" s="14" t="s">
        <v>45</v>
      </c>
      <c r="K13" s="53" t="s">
        <v>94</v>
      </c>
      <c r="L13" s="55">
        <v>2.5</v>
      </c>
      <c r="M13" s="56">
        <v>0.35</v>
      </c>
      <c r="N13" s="109"/>
      <c r="O13" s="12"/>
      <c r="P13" s="12"/>
      <c r="Q13" s="71"/>
      <c r="R13" s="75">
        <v>10</v>
      </c>
      <c r="S13" s="13">
        <v>8</v>
      </c>
      <c r="T13" s="13">
        <v>12</v>
      </c>
      <c r="U13" s="13">
        <v>0.6</v>
      </c>
      <c r="V13" s="57"/>
      <c r="W13" s="57"/>
      <c r="X13" s="99" t="s">
        <v>132</v>
      </c>
      <c r="Y13" s="100"/>
    </row>
    <row r="14" spans="3:25" s="12" customFormat="1" ht="39" customHeight="1">
      <c r="C14" s="5"/>
      <c r="D14" s="5"/>
      <c r="E14" s="88"/>
      <c r="F14" s="13">
        <v>0.2</v>
      </c>
      <c r="G14" s="47" t="s">
        <v>0</v>
      </c>
      <c r="H14" s="1"/>
      <c r="I14" s="13">
        <v>1</v>
      </c>
      <c r="J14" s="14" t="s">
        <v>45</v>
      </c>
      <c r="K14" s="73"/>
      <c r="N14" s="1"/>
      <c r="O14" s="1"/>
      <c r="P14" s="1"/>
      <c r="Q14" s="40"/>
      <c r="R14" s="76">
        <v>100</v>
      </c>
      <c r="S14" s="55">
        <v>4</v>
      </c>
      <c r="T14" s="55">
        <v>8</v>
      </c>
      <c r="U14" s="55">
        <v>0.3</v>
      </c>
      <c r="V14" s="58"/>
      <c r="W14" s="59"/>
      <c r="X14" s="101"/>
      <c r="Y14" s="102"/>
    </row>
    <row r="15" spans="3:25" s="12" customFormat="1" ht="39" customHeight="1">
      <c r="E15" s="88"/>
      <c r="F15" s="13">
        <v>0.5</v>
      </c>
      <c r="G15" s="47" t="s">
        <v>0</v>
      </c>
      <c r="H15" s="1"/>
      <c r="I15" s="13">
        <v>2</v>
      </c>
      <c r="J15" s="14" t="s">
        <v>45</v>
      </c>
      <c r="K15" s="39"/>
      <c r="L15" s="1"/>
      <c r="M15" s="1"/>
      <c r="N15" s="1"/>
      <c r="O15" s="1"/>
      <c r="P15" s="1"/>
      <c r="Q15" s="40"/>
      <c r="Y15" s="71"/>
    </row>
    <row r="16" spans="3:25" s="12" customFormat="1" ht="39" customHeight="1">
      <c r="E16" s="88"/>
      <c r="F16" s="13">
        <v>1</v>
      </c>
      <c r="G16" s="47" t="s">
        <v>0</v>
      </c>
      <c r="H16" s="1"/>
      <c r="I16" s="13">
        <v>5</v>
      </c>
      <c r="J16" s="14" t="s">
        <v>45</v>
      </c>
      <c r="K16" s="39"/>
      <c r="L16" s="1"/>
      <c r="M16" s="1"/>
      <c r="N16" s="1"/>
      <c r="O16" s="1"/>
      <c r="P16" s="1"/>
      <c r="Q16" s="40"/>
      <c r="Y16" s="71"/>
    </row>
    <row r="17" spans="5:25" s="12" customFormat="1" ht="39" customHeight="1">
      <c r="E17" s="88"/>
      <c r="F17" s="13">
        <v>2</v>
      </c>
      <c r="G17" s="47" t="s">
        <v>0</v>
      </c>
      <c r="I17" s="13">
        <v>10</v>
      </c>
      <c r="J17" s="14" t="s">
        <v>45</v>
      </c>
      <c r="K17" s="73"/>
      <c r="Q17" s="71"/>
      <c r="Y17" s="71"/>
    </row>
    <row r="18" spans="5:25" s="12" customFormat="1" ht="39" customHeight="1">
      <c r="E18" s="88"/>
      <c r="F18" s="13">
        <v>5</v>
      </c>
      <c r="G18" s="47" t="s">
        <v>0</v>
      </c>
      <c r="J18" s="71"/>
      <c r="K18" s="73"/>
      <c r="Q18" s="71"/>
      <c r="Y18" s="71"/>
    </row>
    <row r="19" spans="5:25" s="12" customFormat="1" ht="39" customHeight="1">
      <c r="E19" s="88"/>
      <c r="F19" s="13">
        <v>10</v>
      </c>
      <c r="G19" s="47" t="s">
        <v>0</v>
      </c>
      <c r="J19" s="71"/>
      <c r="K19" s="73"/>
      <c r="Q19" s="71"/>
      <c r="Y19" s="71"/>
    </row>
    <row r="20" spans="5:25" s="12" customFormat="1" ht="39" customHeight="1">
      <c r="E20" s="88"/>
      <c r="F20" s="13">
        <v>20</v>
      </c>
      <c r="G20" s="47" t="s">
        <v>0</v>
      </c>
      <c r="J20" s="71"/>
      <c r="K20" s="73"/>
      <c r="Q20" s="71"/>
      <c r="Y20" s="71"/>
    </row>
    <row r="21" spans="5:25" s="12" customFormat="1" ht="39" customHeight="1">
      <c r="E21" s="88"/>
      <c r="F21" s="13">
        <v>50</v>
      </c>
      <c r="G21" s="47" t="s">
        <v>0</v>
      </c>
      <c r="J21" s="71"/>
      <c r="K21" s="73"/>
      <c r="Q21" s="71"/>
      <c r="Y21" s="71"/>
    </row>
    <row r="22" spans="5:25" s="12" customFormat="1" ht="39" customHeight="1">
      <c r="E22" s="88"/>
      <c r="F22" s="13">
        <v>100</v>
      </c>
      <c r="G22" s="47" t="s">
        <v>0</v>
      </c>
      <c r="J22" s="71"/>
      <c r="K22" s="73"/>
      <c r="Q22" s="71"/>
      <c r="Y22" s="71"/>
    </row>
    <row r="23" spans="5:25" s="12" customFormat="1" ht="39" customHeight="1">
      <c r="E23" s="89"/>
      <c r="F23" s="55">
        <v>200</v>
      </c>
      <c r="G23" s="47" t="s">
        <v>0</v>
      </c>
      <c r="H23" s="58"/>
      <c r="I23" s="58"/>
      <c r="J23" s="59"/>
      <c r="K23" s="44"/>
      <c r="L23" s="58"/>
      <c r="M23" s="58"/>
      <c r="N23" s="58"/>
      <c r="O23" s="58"/>
      <c r="P23" s="58"/>
      <c r="Q23" s="59"/>
      <c r="R23" s="58"/>
      <c r="S23" s="58"/>
      <c r="T23" s="58"/>
      <c r="U23" s="58"/>
      <c r="V23" s="58"/>
      <c r="W23" s="58"/>
      <c r="X23" s="58"/>
      <c r="Y23" s="59"/>
    </row>
    <row r="24" spans="5:25" s="1" customFormat="1" ht="39" customHeight="1"/>
    <row r="25" spans="5:25" s="1" customFormat="1" ht="39" customHeight="1"/>
    <row r="26" spans="5:25" s="1" customFormat="1" ht="39" customHeight="1">
      <c r="E26" s="103" t="s">
        <v>107</v>
      </c>
      <c r="F26" s="103"/>
      <c r="G26" s="103"/>
      <c r="H26" s="32" t="s">
        <v>135</v>
      </c>
    </row>
    <row r="27" spans="5:25" s="1" customFormat="1" ht="39" customHeight="1">
      <c r="E27" s="72" t="s">
        <v>133</v>
      </c>
      <c r="F27" s="33">
        <v>0.2</v>
      </c>
      <c r="G27" s="45" t="s">
        <v>0</v>
      </c>
      <c r="H27" s="43" t="str">
        <f>IF(OR( F27 &gt;= L13, F27 &lt; 0), "Out of Calibration Range !!!", "OK")</f>
        <v>OK</v>
      </c>
    </row>
    <row r="28" spans="5:25" s="1" customFormat="1" ht="40" customHeight="1">
      <c r="E28" s="72" t="s">
        <v>134</v>
      </c>
      <c r="F28" s="46">
        <f>F27/F11</f>
        <v>10</v>
      </c>
      <c r="G28" s="45" t="s">
        <v>45</v>
      </c>
      <c r="H28" s="12"/>
    </row>
    <row r="29" spans="5:25" s="1" customFormat="1" ht="40" customHeight="1"/>
    <row r="30" spans="5:25" s="12" customFormat="1" ht="40" customHeight="1">
      <c r="E30" s="103" t="s">
        <v>109</v>
      </c>
      <c r="F30" s="103"/>
      <c r="G30" s="103"/>
      <c r="H30" s="103"/>
      <c r="I30" s="103"/>
      <c r="J30" s="103"/>
      <c r="K30" s="103"/>
      <c r="L30" s="103"/>
      <c r="M30" s="103"/>
      <c r="N30" s="103"/>
      <c r="O30" s="103"/>
      <c r="P30" s="103"/>
      <c r="Q30" s="103"/>
      <c r="R30" s="103"/>
      <c r="S30" s="103"/>
      <c r="T30" s="103"/>
    </row>
    <row r="31" spans="5:25" s="60" customFormat="1" ht="25" customHeight="1">
      <c r="E31" s="119" t="s">
        <v>39</v>
      </c>
      <c r="F31" s="121" t="s">
        <v>40</v>
      </c>
      <c r="G31" s="121"/>
      <c r="H31" s="121" t="s">
        <v>137</v>
      </c>
      <c r="I31" s="121"/>
      <c r="J31" s="121" t="s">
        <v>37</v>
      </c>
      <c r="K31" s="121"/>
      <c r="L31" s="122" t="s">
        <v>38</v>
      </c>
      <c r="M31" s="123"/>
      <c r="N31" s="119" t="s">
        <v>70</v>
      </c>
      <c r="O31" s="123"/>
      <c r="P31" s="121" t="s">
        <v>64</v>
      </c>
      <c r="Q31" s="121"/>
      <c r="R31" s="121"/>
      <c r="S31" s="121"/>
      <c r="T31" s="121"/>
    </row>
    <row r="32" spans="5:25" s="60" customFormat="1" ht="25" customHeight="1">
      <c r="E32" s="120"/>
      <c r="F32" s="121"/>
      <c r="G32" s="121"/>
      <c r="H32" s="121"/>
      <c r="I32" s="121"/>
      <c r="J32" s="121"/>
      <c r="K32" s="121"/>
      <c r="L32" s="124"/>
      <c r="M32" s="125"/>
      <c r="N32" s="126"/>
      <c r="O32" s="127"/>
      <c r="P32" s="24" t="s">
        <v>102</v>
      </c>
      <c r="Q32" s="24" t="s">
        <v>66</v>
      </c>
      <c r="R32" s="24" t="s">
        <v>68</v>
      </c>
      <c r="S32" s="24" t="s">
        <v>69</v>
      </c>
      <c r="T32" s="24" t="s">
        <v>57</v>
      </c>
      <c r="U32" s="32" t="s">
        <v>91</v>
      </c>
    </row>
    <row r="33" spans="4:23" ht="63" customHeight="1">
      <c r="D33" s="12"/>
      <c r="E33" s="61" t="s">
        <v>108</v>
      </c>
      <c r="F33" s="22">
        <f>F9</f>
        <v>0.2</v>
      </c>
      <c r="G33" s="6" t="s">
        <v>0</v>
      </c>
      <c r="H33" s="11">
        <f>ABS(F85/(F73*F63))</f>
        <v>0.2</v>
      </c>
      <c r="I33" s="6" t="s">
        <v>0</v>
      </c>
      <c r="J33" s="23">
        <f>SQRT((R63)^2+(R66)^2+(R67)^2+(R73)^2+(R85)^2)</f>
        <v>5.1972175027677307E-3</v>
      </c>
      <c r="K33" s="6" t="s">
        <v>0</v>
      </c>
      <c r="L33" s="11">
        <f>J33*2</f>
        <v>1.0394435005535461E-2</v>
      </c>
      <c r="M33" s="7" t="s">
        <v>0</v>
      </c>
      <c r="N33" s="9">
        <f>ABS((L33/H33)*100)</f>
        <v>5.1972175027677308</v>
      </c>
      <c r="O33" s="9" t="s">
        <v>11</v>
      </c>
      <c r="P33" s="21">
        <f>T63</f>
        <v>2.436902125358253</v>
      </c>
      <c r="Q33" s="21">
        <f>T66</f>
        <v>94.48286776357989</v>
      </c>
      <c r="R33" s="21">
        <f>T67</f>
        <v>1.2340619462998195</v>
      </c>
      <c r="S33" s="21">
        <f>T73</f>
        <v>1.7967941938125362</v>
      </c>
      <c r="T33" s="21">
        <f>T85</f>
        <v>4.9373970949483405E-2</v>
      </c>
      <c r="U33" s="31">
        <f>SUM(P33:T33)/100</f>
        <v>0.99999999999999989</v>
      </c>
      <c r="W33" s="5"/>
    </row>
    <row r="34" spans="4:23" ht="50" customHeight="1">
      <c r="U34" s="12"/>
    </row>
    <row r="35" spans="4:23" ht="50" customHeight="1">
      <c r="K35" s="12"/>
    </row>
    <row r="36" spans="4:23" ht="50" customHeight="1">
      <c r="K36" s="12"/>
    </row>
    <row r="37" spans="4:23" ht="50" customHeight="1">
      <c r="K37" s="12"/>
      <c r="N37" s="62"/>
    </row>
    <row r="38" spans="4:23" ht="50" customHeight="1">
      <c r="K38" s="12"/>
    </row>
    <row r="39" spans="4:23">
      <c r="K39" s="12"/>
    </row>
    <row r="40" spans="4:23">
      <c r="K40" s="12"/>
    </row>
    <row r="41" spans="4:23">
      <c r="K41" s="12"/>
    </row>
    <row r="42" spans="4:23">
      <c r="K42" s="12"/>
    </row>
    <row r="43" spans="4:23">
      <c r="K43" s="12"/>
    </row>
    <row r="44" spans="4:23">
      <c r="K44" s="12"/>
    </row>
    <row r="45" spans="4:23">
      <c r="K45" s="12"/>
    </row>
    <row r="46" spans="4:23">
      <c r="K46" s="12"/>
    </row>
    <row r="47" spans="4:23">
      <c r="K47" s="12"/>
    </row>
    <row r="48" spans="4:23">
      <c r="K48" s="12"/>
    </row>
    <row r="49" spans="3:25">
      <c r="K49" s="12"/>
    </row>
    <row r="50" spans="3:25">
      <c r="K50" s="12"/>
    </row>
    <row r="51" spans="3:25">
      <c r="K51" s="12"/>
    </row>
    <row r="52" spans="3:25">
      <c r="K52" s="12"/>
    </row>
    <row r="53" spans="3:25">
      <c r="K53" s="12"/>
    </row>
    <row r="54" spans="3:25">
      <c r="K54" s="12"/>
      <c r="M54" s="12"/>
    </row>
    <row r="55" spans="3:25">
      <c r="K55" s="12"/>
    </row>
    <row r="56" spans="3:25">
      <c r="K56" s="12"/>
    </row>
    <row r="57" spans="3:25">
      <c r="K57" s="12"/>
    </row>
    <row r="58" spans="3:25">
      <c r="K58" s="12"/>
    </row>
    <row r="59" spans="3:25">
      <c r="K59" s="12"/>
    </row>
    <row r="60" spans="3:25" s="63" customFormat="1" ht="71" customHeight="1">
      <c r="C60" s="36" t="s">
        <v>119</v>
      </c>
      <c r="D60" s="37" t="s">
        <v>120</v>
      </c>
      <c r="E60" s="37" t="s">
        <v>121</v>
      </c>
      <c r="F60" s="95" t="s">
        <v>122</v>
      </c>
      <c r="G60" s="96"/>
      <c r="H60" s="95" t="s">
        <v>123</v>
      </c>
      <c r="I60" s="104"/>
      <c r="J60" s="104"/>
      <c r="K60" s="96"/>
      <c r="L60" s="37" t="s">
        <v>124</v>
      </c>
      <c r="M60" s="37" t="s">
        <v>125</v>
      </c>
      <c r="N60" s="95" t="s">
        <v>126</v>
      </c>
      <c r="O60" s="96"/>
      <c r="P60" s="95" t="s">
        <v>127</v>
      </c>
      <c r="Q60" s="96"/>
      <c r="R60" s="95" t="s">
        <v>128</v>
      </c>
      <c r="S60" s="96"/>
      <c r="T60" s="95" t="s">
        <v>129</v>
      </c>
      <c r="U60" s="96"/>
      <c r="V60" s="36" t="s">
        <v>130</v>
      </c>
      <c r="W60" s="90" t="s">
        <v>1</v>
      </c>
      <c r="X60" s="90"/>
      <c r="Y60" s="90"/>
    </row>
    <row r="61" spans="3:25">
      <c r="K61" s="12"/>
    </row>
    <row r="62" spans="3:25" ht="25" customHeight="1">
      <c r="D62" s="85" t="s">
        <v>4</v>
      </c>
      <c r="E62" s="85"/>
      <c r="F62" s="85"/>
      <c r="G62" s="85"/>
      <c r="H62" s="85"/>
      <c r="I62" s="85"/>
      <c r="J62" s="85"/>
      <c r="K62" s="85"/>
      <c r="L62" s="85"/>
      <c r="M62" s="85"/>
      <c r="N62" s="85"/>
      <c r="O62" s="85"/>
      <c r="P62" s="85"/>
      <c r="Q62" s="85"/>
      <c r="R62" s="85"/>
      <c r="S62" s="85"/>
      <c r="T62" s="85"/>
      <c r="U62" s="85"/>
      <c r="V62" s="85"/>
      <c r="W62" s="85"/>
      <c r="X62" s="85"/>
      <c r="Y62" s="85"/>
    </row>
    <row r="63" spans="3:25" ht="25" customHeight="1">
      <c r="C63" s="17" t="s">
        <v>74</v>
      </c>
      <c r="D63" s="8">
        <v>1</v>
      </c>
      <c r="E63" s="35" t="s">
        <v>101</v>
      </c>
      <c r="F63" s="28">
        <f>N11</f>
        <v>-80.56</v>
      </c>
      <c r="G63" s="16" t="s">
        <v>28</v>
      </c>
      <c r="H63" s="13"/>
      <c r="I63" s="16"/>
      <c r="J63" s="19"/>
      <c r="K63" s="16"/>
      <c r="L63" s="15"/>
      <c r="M63" s="29"/>
      <c r="N63" s="19">
        <f>SQRT(N64^2 + N65^2)</f>
        <v>0.32679800573034917</v>
      </c>
      <c r="O63" s="14" t="s">
        <v>28</v>
      </c>
      <c r="P63" s="19">
        <f>F28/(F73*F63^2)</f>
        <v>2.4826216484607746E-3</v>
      </c>
      <c r="Q63" s="14" t="s">
        <v>31</v>
      </c>
      <c r="R63" s="19">
        <f>P63*N63</f>
        <v>8.1131580369997317E-4</v>
      </c>
      <c r="S63" s="14" t="s">
        <v>0</v>
      </c>
      <c r="T63" s="28">
        <f>(R63/$J$33)^2*100</f>
        <v>2.436902125358253</v>
      </c>
      <c r="U63" s="16" t="s">
        <v>11</v>
      </c>
      <c r="V63" s="64"/>
      <c r="W63" s="83"/>
      <c r="X63" s="83"/>
      <c r="Y63" s="83"/>
    </row>
    <row r="64" spans="3:25" ht="25" customHeight="1">
      <c r="C64" s="17" t="s">
        <v>74</v>
      </c>
      <c r="D64" s="8">
        <f>D63+1</f>
        <v>2</v>
      </c>
      <c r="E64" s="65" t="s">
        <v>34</v>
      </c>
      <c r="F64" s="28">
        <f>F63</f>
        <v>-80.56</v>
      </c>
      <c r="G64" s="16" t="s">
        <v>28</v>
      </c>
      <c r="H64" s="28">
        <f>O11</f>
        <v>0.56999999999999995</v>
      </c>
      <c r="I64" s="16" t="s">
        <v>11</v>
      </c>
      <c r="J64" s="19">
        <f>F63*(H64/100)</f>
        <v>-0.45919199999999993</v>
      </c>
      <c r="K64" s="16" t="s">
        <v>28</v>
      </c>
      <c r="L64" s="15" t="s">
        <v>29</v>
      </c>
      <c r="M64" s="29">
        <v>2</v>
      </c>
      <c r="N64" s="19">
        <f>J64/M64</f>
        <v>-0.22959599999999997</v>
      </c>
      <c r="O64" s="14" t="s">
        <v>28</v>
      </c>
      <c r="P64" s="19"/>
      <c r="Q64" s="14" t="s">
        <v>14</v>
      </c>
      <c r="R64" s="18" t="s">
        <v>14</v>
      </c>
      <c r="S64" s="14" t="s">
        <v>14</v>
      </c>
      <c r="T64" s="18" t="s">
        <v>14</v>
      </c>
      <c r="U64" s="14" t="s">
        <v>14</v>
      </c>
      <c r="V64" s="64" t="s">
        <v>42</v>
      </c>
      <c r="W64" s="91" t="s">
        <v>71</v>
      </c>
      <c r="X64" s="91"/>
      <c r="Y64" s="91"/>
    </row>
    <row r="65" spans="1:25" ht="25" customHeight="1">
      <c r="C65" s="17" t="s">
        <v>74</v>
      </c>
      <c r="D65" s="8">
        <f t="shared" ref="D65:D70" si="0">D64+1</f>
        <v>3</v>
      </c>
      <c r="E65" s="65" t="s">
        <v>12</v>
      </c>
      <c r="F65" s="13">
        <v>0</v>
      </c>
      <c r="G65" s="16" t="s">
        <v>28</v>
      </c>
      <c r="H65" s="28">
        <f>P11</f>
        <v>0.5</v>
      </c>
      <c r="I65" s="16" t="s">
        <v>11</v>
      </c>
      <c r="J65" s="18">
        <f>(H65/100)*F63</f>
        <v>-0.40280000000000005</v>
      </c>
      <c r="K65" s="16" t="s">
        <v>28</v>
      </c>
      <c r="L65" s="15" t="s">
        <v>33</v>
      </c>
      <c r="M65" s="29">
        <f t="shared" ref="M65" si="1">(SQRT(3))</f>
        <v>1.7320508075688772</v>
      </c>
      <c r="N65" s="19">
        <f>J65/M65</f>
        <v>-0.2325566884295813</v>
      </c>
      <c r="O65" s="14" t="s">
        <v>28</v>
      </c>
      <c r="P65" s="19"/>
      <c r="Q65" s="14" t="s">
        <v>14</v>
      </c>
      <c r="R65" s="18" t="s">
        <v>14</v>
      </c>
      <c r="S65" s="14" t="s">
        <v>14</v>
      </c>
      <c r="T65" s="18" t="s">
        <v>14</v>
      </c>
      <c r="U65" s="14" t="s">
        <v>14</v>
      </c>
      <c r="V65" s="64" t="s">
        <v>36</v>
      </c>
      <c r="W65" s="91" t="s">
        <v>95</v>
      </c>
      <c r="X65" s="91"/>
      <c r="Y65" s="91"/>
    </row>
    <row r="66" spans="1:25" ht="25" customHeight="1">
      <c r="C66" s="17" t="s">
        <v>74</v>
      </c>
      <c r="D66" s="8">
        <f t="shared" si="0"/>
        <v>4</v>
      </c>
      <c r="E66" s="66" t="s">
        <v>25</v>
      </c>
      <c r="F66" s="13">
        <v>0</v>
      </c>
      <c r="G66" s="16" t="s">
        <v>0</v>
      </c>
      <c r="H66" s="28" cm="1">
        <f t="array" ref="H66">IF(OR(H33 &lt; MIN(L11:L13), H33 &gt; MAX(L11:L13)), "Out of Range", INDEX(M11:M13, MATCH(H33, L11:L13, 2) + 1))</f>
        <v>0.35</v>
      </c>
      <c r="I66" s="16" t="s">
        <v>11</v>
      </c>
      <c r="J66" s="19" cm="1">
        <f t="array" ref="J66">(H66/100)*IF(OR(H33 &lt; MIN(L11:L13), H33 &gt; MAX(L11:L13)), "Out of Range", INDEX(L11:L13, MATCH(H33, L11:L13, 1) + 1))</f>
        <v>8.7499999999999991E-3</v>
      </c>
      <c r="K66" s="16" t="s">
        <v>0</v>
      </c>
      <c r="L66" s="15" t="s">
        <v>33</v>
      </c>
      <c r="M66" s="29">
        <f>(SQRT(3))</f>
        <v>1.7320508075688772</v>
      </c>
      <c r="N66" s="19">
        <f>J66/M66</f>
        <v>5.0518148554092252E-3</v>
      </c>
      <c r="O66" s="14" t="s">
        <v>0</v>
      </c>
      <c r="P66" s="67">
        <v>1</v>
      </c>
      <c r="Q66" s="14" t="s">
        <v>2</v>
      </c>
      <c r="R66" s="19">
        <f>P66*N66</f>
        <v>5.0518148554092252E-3</v>
      </c>
      <c r="S66" s="14" t="s">
        <v>0</v>
      </c>
      <c r="T66" s="28">
        <f>(R66/$J$33)^2*100</f>
        <v>94.48286776357989</v>
      </c>
      <c r="U66" s="16" t="s">
        <v>11</v>
      </c>
      <c r="V66" s="64" t="s">
        <v>32</v>
      </c>
      <c r="W66" s="91" t="s">
        <v>72</v>
      </c>
      <c r="X66" s="91"/>
      <c r="Y66" s="91"/>
    </row>
    <row r="67" spans="1:25" ht="25" customHeight="1">
      <c r="C67" s="17" t="s">
        <v>74</v>
      </c>
      <c r="D67" s="8">
        <f t="shared" si="0"/>
        <v>5</v>
      </c>
      <c r="E67" s="66" t="s">
        <v>13</v>
      </c>
      <c r="F67" s="13">
        <v>0</v>
      </c>
      <c r="G67" s="16" t="s">
        <v>0</v>
      </c>
      <c r="H67" s="28">
        <f>Q11</f>
        <v>0.5</v>
      </c>
      <c r="I67" s="16" t="s">
        <v>11</v>
      </c>
      <c r="J67" s="18">
        <f>(H67/100)*H33</f>
        <v>1E-3</v>
      </c>
      <c r="K67" s="16" t="s">
        <v>0</v>
      </c>
      <c r="L67" s="15" t="s">
        <v>33</v>
      </c>
      <c r="M67" s="29">
        <f t="shared" ref="M67" si="2">(SQRT(3))</f>
        <v>1.7320508075688772</v>
      </c>
      <c r="N67" s="19">
        <f>J67/M67</f>
        <v>5.773502691896258E-4</v>
      </c>
      <c r="O67" s="14" t="s">
        <v>0</v>
      </c>
      <c r="P67" s="67">
        <v>1</v>
      </c>
      <c r="Q67" s="14" t="s">
        <v>2</v>
      </c>
      <c r="R67" s="19">
        <f>P67*N67</f>
        <v>5.773502691896258E-4</v>
      </c>
      <c r="S67" s="14" t="s">
        <v>0</v>
      </c>
      <c r="T67" s="28">
        <f>(R67/$J$33)^2*100</f>
        <v>1.2340619462998195</v>
      </c>
      <c r="U67" s="16" t="s">
        <v>11</v>
      </c>
      <c r="V67" s="64" t="s">
        <v>36</v>
      </c>
      <c r="W67" s="91" t="s">
        <v>35</v>
      </c>
      <c r="X67" s="91"/>
      <c r="Y67" s="91"/>
    </row>
    <row r="68" spans="1:25" ht="25" customHeight="1">
      <c r="C68" s="20" t="s">
        <v>75</v>
      </c>
      <c r="D68" s="8">
        <f t="shared" si="0"/>
        <v>6</v>
      </c>
      <c r="E68" s="38" t="s">
        <v>15</v>
      </c>
      <c r="F68" s="13" t="s">
        <v>14</v>
      </c>
      <c r="G68" s="16" t="s">
        <v>14</v>
      </c>
      <c r="H68" s="13" t="s">
        <v>14</v>
      </c>
      <c r="I68" s="16" t="s">
        <v>14</v>
      </c>
      <c r="J68" s="18" t="s">
        <v>14</v>
      </c>
      <c r="K68" s="16" t="s">
        <v>14</v>
      </c>
      <c r="L68" s="15" t="s">
        <v>14</v>
      </c>
      <c r="M68" s="29"/>
      <c r="N68" s="19" t="s">
        <v>14</v>
      </c>
      <c r="O68" s="14" t="s">
        <v>14</v>
      </c>
      <c r="P68" s="18" t="s">
        <v>14</v>
      </c>
      <c r="Q68" s="14" t="s">
        <v>14</v>
      </c>
      <c r="R68" s="18" t="s">
        <v>14</v>
      </c>
      <c r="S68" s="14" t="s">
        <v>14</v>
      </c>
      <c r="T68" s="18" t="s">
        <v>14</v>
      </c>
      <c r="U68" s="14" t="s">
        <v>14</v>
      </c>
      <c r="V68" s="64" t="s">
        <v>36</v>
      </c>
      <c r="W68" s="91" t="s">
        <v>46</v>
      </c>
      <c r="X68" s="91"/>
      <c r="Y68" s="91"/>
    </row>
    <row r="69" spans="1:25" ht="25" customHeight="1">
      <c r="C69" s="20" t="s">
        <v>75</v>
      </c>
      <c r="D69" s="8">
        <f t="shared" si="0"/>
        <v>7</v>
      </c>
      <c r="E69" s="38" t="s">
        <v>26</v>
      </c>
      <c r="F69" s="13" t="s">
        <v>14</v>
      </c>
      <c r="G69" s="16" t="s">
        <v>14</v>
      </c>
      <c r="H69" s="13" t="s">
        <v>14</v>
      </c>
      <c r="I69" s="16" t="s">
        <v>14</v>
      </c>
      <c r="J69" s="18" t="s">
        <v>14</v>
      </c>
      <c r="K69" s="16" t="s">
        <v>14</v>
      </c>
      <c r="L69" s="15" t="s">
        <v>14</v>
      </c>
      <c r="M69" s="29"/>
      <c r="N69" s="19" t="s">
        <v>14</v>
      </c>
      <c r="O69" s="14" t="s">
        <v>14</v>
      </c>
      <c r="P69" s="18" t="s">
        <v>14</v>
      </c>
      <c r="Q69" s="14" t="s">
        <v>14</v>
      </c>
      <c r="R69" s="18" t="s">
        <v>14</v>
      </c>
      <c r="S69" s="14" t="s">
        <v>14</v>
      </c>
      <c r="T69" s="18" t="s">
        <v>14</v>
      </c>
      <c r="U69" s="14" t="s">
        <v>14</v>
      </c>
      <c r="V69" s="64" t="s">
        <v>36</v>
      </c>
      <c r="W69" s="91" t="s">
        <v>18</v>
      </c>
      <c r="X69" s="91"/>
      <c r="Y69" s="91"/>
    </row>
    <row r="70" spans="1:25" ht="25" customHeight="1">
      <c r="C70" s="20" t="s">
        <v>75</v>
      </c>
      <c r="D70" s="8">
        <f t="shared" si="0"/>
        <v>8</v>
      </c>
      <c r="E70" s="38" t="s">
        <v>27</v>
      </c>
      <c r="F70" s="13" t="s">
        <v>14</v>
      </c>
      <c r="G70" s="16" t="s">
        <v>14</v>
      </c>
      <c r="H70" s="13" t="s">
        <v>14</v>
      </c>
      <c r="I70" s="16" t="s">
        <v>14</v>
      </c>
      <c r="J70" s="18" t="s">
        <v>14</v>
      </c>
      <c r="K70" s="16" t="s">
        <v>14</v>
      </c>
      <c r="L70" s="15" t="s">
        <v>14</v>
      </c>
      <c r="M70" s="29"/>
      <c r="N70" s="19" t="s">
        <v>14</v>
      </c>
      <c r="O70" s="14" t="s">
        <v>14</v>
      </c>
      <c r="P70" s="18" t="s">
        <v>14</v>
      </c>
      <c r="Q70" s="14" t="s">
        <v>14</v>
      </c>
      <c r="R70" s="18" t="s">
        <v>14</v>
      </c>
      <c r="S70" s="14" t="s">
        <v>14</v>
      </c>
      <c r="T70" s="18" t="s">
        <v>14</v>
      </c>
      <c r="U70" s="14" t="s">
        <v>14</v>
      </c>
      <c r="V70" s="64" t="s">
        <v>36</v>
      </c>
      <c r="W70" s="91" t="s">
        <v>73</v>
      </c>
      <c r="X70" s="91"/>
      <c r="Y70" s="91"/>
    </row>
    <row r="71" spans="1:25" s="12" customFormat="1" ht="35" customHeight="1">
      <c r="J71" s="68"/>
    </row>
    <row r="72" spans="1:25" ht="25" customHeight="1">
      <c r="D72" s="85" t="s">
        <v>5</v>
      </c>
      <c r="E72" s="85"/>
      <c r="F72" s="85"/>
      <c r="G72" s="85"/>
      <c r="H72" s="85"/>
      <c r="I72" s="85"/>
      <c r="J72" s="85"/>
      <c r="K72" s="85"/>
      <c r="L72" s="85"/>
      <c r="M72" s="85"/>
      <c r="N72" s="85"/>
      <c r="O72" s="85"/>
      <c r="P72" s="85"/>
      <c r="Q72" s="85"/>
      <c r="R72" s="85"/>
      <c r="S72" s="85"/>
      <c r="T72" s="85"/>
      <c r="U72" s="85"/>
      <c r="V72" s="85"/>
      <c r="W72" s="85"/>
      <c r="X72" s="85"/>
      <c r="Y72" s="85"/>
    </row>
    <row r="73" spans="1:25" ht="43" customHeight="1">
      <c r="A73" s="5">
        <f>1/F73</f>
        <v>1.6112000000000002</v>
      </c>
      <c r="C73" s="17" t="s">
        <v>74</v>
      </c>
      <c r="D73" s="8">
        <f>D70+1</f>
        <v>9</v>
      </c>
      <c r="E73" s="35" t="s">
        <v>43</v>
      </c>
      <c r="F73" s="27">
        <f>(F74/F77)</f>
        <v>0.62065541211519359</v>
      </c>
      <c r="G73" s="16" t="s">
        <v>47</v>
      </c>
      <c r="H73" s="13"/>
      <c r="I73" s="16"/>
      <c r="J73" s="19"/>
      <c r="K73" s="16" t="s">
        <v>47</v>
      </c>
      <c r="L73" s="15"/>
      <c r="M73" s="14"/>
      <c r="N73" s="19">
        <f>SQRT((P74*N74)^2+(P77*N77)^2)</f>
        <v>2.1619249383669527E-3</v>
      </c>
      <c r="O73" s="16" t="s">
        <v>47</v>
      </c>
      <c r="P73" s="19">
        <f>-F28/(F73^2*F63)</f>
        <v>0.32224000000000003</v>
      </c>
      <c r="Q73" s="14" t="s">
        <v>48</v>
      </c>
      <c r="R73" s="19">
        <f>P73*N73</f>
        <v>6.9665869213936694E-4</v>
      </c>
      <c r="S73" s="14" t="s">
        <v>0</v>
      </c>
      <c r="T73" s="28">
        <f>(R73/$J$33)^2*100</f>
        <v>1.7967941938125362</v>
      </c>
      <c r="U73" s="16" t="s">
        <v>11</v>
      </c>
      <c r="V73" s="64" t="s">
        <v>77</v>
      </c>
      <c r="W73" s="92" t="s">
        <v>76</v>
      </c>
      <c r="X73" s="93"/>
      <c r="Y73" s="94"/>
    </row>
    <row r="74" spans="1:25" ht="25" customHeight="1">
      <c r="C74" s="17" t="s">
        <v>74</v>
      </c>
      <c r="D74" s="8">
        <f>D73+1</f>
        <v>10</v>
      </c>
      <c r="E74" s="65" t="s">
        <v>49</v>
      </c>
      <c r="F74" s="25">
        <f>F28</f>
        <v>10</v>
      </c>
      <c r="G74" s="16" t="s">
        <v>45</v>
      </c>
      <c r="H74" s="13"/>
      <c r="I74" s="16" t="s">
        <v>45</v>
      </c>
      <c r="J74" s="19"/>
      <c r="K74" s="16" t="s">
        <v>45</v>
      </c>
      <c r="L74" s="15"/>
      <c r="M74" s="14"/>
      <c r="N74" s="19">
        <f>SQRT(SUMSQ(N75:N76))</f>
        <v>3.6514837167011078E-3</v>
      </c>
      <c r="O74" s="16" t="s">
        <v>45</v>
      </c>
      <c r="P74" s="19">
        <f>1/F77</f>
        <v>6.2065541211519359E-2</v>
      </c>
      <c r="Q74" s="16" t="s">
        <v>53</v>
      </c>
      <c r="R74" s="18" t="s">
        <v>14</v>
      </c>
      <c r="S74" s="14" t="s">
        <v>14</v>
      </c>
      <c r="T74" s="28"/>
      <c r="U74" s="14"/>
      <c r="V74" s="64"/>
      <c r="W74" s="83"/>
      <c r="X74" s="83"/>
      <c r="Y74" s="83"/>
    </row>
    <row r="75" spans="1:25" ht="25" customHeight="1">
      <c r="C75" s="17" t="s">
        <v>74</v>
      </c>
      <c r="D75" s="8">
        <f t="shared" ref="D75:D82" si="3">D74+1</f>
        <v>11</v>
      </c>
      <c r="E75" s="42" t="s">
        <v>16</v>
      </c>
      <c r="F75" s="13">
        <v>0</v>
      </c>
      <c r="G75" s="16" t="s">
        <v>45</v>
      </c>
      <c r="H75" s="18">
        <f>W11/1000</f>
        <v>2E-3</v>
      </c>
      <c r="I75" s="16" t="s">
        <v>45</v>
      </c>
      <c r="J75" s="19">
        <f>H75</f>
        <v>2E-3</v>
      </c>
      <c r="K75" s="16" t="s">
        <v>45</v>
      </c>
      <c r="L75" s="15" t="s">
        <v>33</v>
      </c>
      <c r="M75" s="29">
        <f t="shared" ref="M75" si="4">(SQRT(3))</f>
        <v>1.7320508075688772</v>
      </c>
      <c r="N75" s="19">
        <f>J75/M75</f>
        <v>1.1547005383792516E-3</v>
      </c>
      <c r="O75" s="16" t="s">
        <v>45</v>
      </c>
      <c r="P75" s="67">
        <v>1</v>
      </c>
      <c r="Q75" s="14" t="s">
        <v>2</v>
      </c>
      <c r="R75" s="18" t="s">
        <v>14</v>
      </c>
      <c r="S75" s="14" t="s">
        <v>14</v>
      </c>
      <c r="T75" s="28"/>
      <c r="U75" s="14"/>
      <c r="V75" s="64"/>
      <c r="W75" s="83" t="s">
        <v>17</v>
      </c>
      <c r="X75" s="83"/>
      <c r="Y75" s="83"/>
    </row>
    <row r="76" spans="1:25" ht="25" customHeight="1">
      <c r="A76" s="12"/>
      <c r="B76" s="12"/>
      <c r="C76" s="17" t="s">
        <v>74</v>
      </c>
      <c r="D76" s="8">
        <f t="shared" si="3"/>
        <v>12</v>
      </c>
      <c r="E76" s="42" t="s">
        <v>19</v>
      </c>
      <c r="F76" s="13">
        <v>0</v>
      </c>
      <c r="G76" s="16"/>
      <c r="H76" s="18">
        <f xml:space="preserve"> VLOOKUP(F77, R11:U14, 3, TRUE)/1000</f>
        <v>1.2E-2</v>
      </c>
      <c r="I76" s="16" t="s">
        <v>45</v>
      </c>
      <c r="J76" s="19">
        <f>H76</f>
        <v>1.2E-2</v>
      </c>
      <c r="K76" s="16" t="s">
        <v>83</v>
      </c>
      <c r="L76" s="15" t="s">
        <v>82</v>
      </c>
      <c r="M76" s="29">
        <f>(2*SQRT(3))</f>
        <v>3.4641016151377544</v>
      </c>
      <c r="N76" s="19">
        <f>J76/M76</f>
        <v>3.4641016151377548E-3</v>
      </c>
      <c r="O76" s="16" t="s">
        <v>45</v>
      </c>
      <c r="P76" s="67">
        <v>1</v>
      </c>
      <c r="Q76" s="14" t="s">
        <v>2</v>
      </c>
      <c r="R76" s="18" t="s">
        <v>14</v>
      </c>
      <c r="S76" s="14" t="s">
        <v>14</v>
      </c>
      <c r="T76" s="28"/>
      <c r="U76" s="14"/>
      <c r="V76" s="64"/>
      <c r="W76" s="83"/>
      <c r="X76" s="83"/>
      <c r="Y76" s="83"/>
    </row>
    <row r="77" spans="1:25" ht="25" customHeight="1">
      <c r="A77" s="12"/>
      <c r="B77" s="12"/>
      <c r="C77" s="17" t="s">
        <v>74</v>
      </c>
      <c r="D77" s="8">
        <f t="shared" si="3"/>
        <v>13</v>
      </c>
      <c r="E77" s="65" t="s">
        <v>50</v>
      </c>
      <c r="F77" s="69">
        <f>ABS(F63*F11*F28)</f>
        <v>16.112000000000002</v>
      </c>
      <c r="G77" s="16" t="s">
        <v>41</v>
      </c>
      <c r="H77" s="13"/>
      <c r="I77" s="16"/>
      <c r="J77" s="19"/>
      <c r="K77" s="16"/>
      <c r="L77" s="15"/>
      <c r="M77" s="14"/>
      <c r="N77" s="19">
        <f>SQRT(SUMSQ(N78:N78))</f>
        <v>5.5813605223099506E-2</v>
      </c>
      <c r="O77" s="16" t="s">
        <v>41</v>
      </c>
      <c r="P77" s="19">
        <f>F73/F77</f>
        <v>3.852131405878808E-2</v>
      </c>
      <c r="Q77" s="14" t="s">
        <v>55</v>
      </c>
      <c r="R77" s="18" t="s">
        <v>14</v>
      </c>
      <c r="S77" s="14" t="s">
        <v>14</v>
      </c>
      <c r="T77" s="28"/>
      <c r="U77" s="14"/>
      <c r="V77" s="64"/>
      <c r="W77" s="86"/>
      <c r="X77" s="86"/>
      <c r="Y77" s="86"/>
    </row>
    <row r="78" spans="1:25" ht="25" customHeight="1">
      <c r="A78" s="12"/>
      <c r="B78" s="12"/>
      <c r="C78" s="17" t="s">
        <v>74</v>
      </c>
      <c r="D78" s="8">
        <f t="shared" si="3"/>
        <v>14</v>
      </c>
      <c r="E78" s="42" t="s">
        <v>100</v>
      </c>
      <c r="F78" s="13">
        <v>0</v>
      </c>
      <c r="G78" s="16" t="s">
        <v>41</v>
      </c>
      <c r="H78" s="69">
        <f xml:space="preserve"> VLOOKUP(F77, R11:U14,4, TRUE)</f>
        <v>0.6</v>
      </c>
      <c r="I78" s="16" t="s">
        <v>11</v>
      </c>
      <c r="J78" s="19">
        <f>(H78/100)*F63*F9</f>
        <v>-9.6672000000000008E-2</v>
      </c>
      <c r="K78" s="16" t="s">
        <v>41</v>
      </c>
      <c r="L78" s="15" t="s">
        <v>33</v>
      </c>
      <c r="M78" s="29">
        <f t="shared" ref="M78" si="5">(SQRT(3))</f>
        <v>1.7320508075688772</v>
      </c>
      <c r="N78" s="19">
        <f>J78/M78</f>
        <v>-5.5813605223099506E-2</v>
      </c>
      <c r="O78" s="16" t="s">
        <v>41</v>
      </c>
      <c r="P78" s="19"/>
      <c r="Q78" s="14"/>
      <c r="R78" s="18" t="s">
        <v>14</v>
      </c>
      <c r="S78" s="14" t="s">
        <v>14</v>
      </c>
      <c r="T78" s="28"/>
      <c r="U78" s="14"/>
      <c r="V78" s="64"/>
      <c r="W78" s="83"/>
      <c r="X78" s="83"/>
      <c r="Y78" s="83"/>
    </row>
    <row r="79" spans="1:25" ht="25" customHeight="1">
      <c r="C79" s="20" t="s">
        <v>75</v>
      </c>
      <c r="D79" s="8">
        <f t="shared" si="3"/>
        <v>15</v>
      </c>
      <c r="E79" s="38" t="s">
        <v>22</v>
      </c>
      <c r="F79" s="13" t="s">
        <v>14</v>
      </c>
      <c r="G79" s="16" t="s">
        <v>14</v>
      </c>
      <c r="H79" s="13" t="s">
        <v>14</v>
      </c>
      <c r="I79" s="16" t="s">
        <v>14</v>
      </c>
      <c r="J79" s="18" t="s">
        <v>14</v>
      </c>
      <c r="K79" s="16" t="s">
        <v>14</v>
      </c>
      <c r="L79" s="15" t="s">
        <v>14</v>
      </c>
      <c r="M79" s="29"/>
      <c r="N79" s="19" t="s">
        <v>14</v>
      </c>
      <c r="O79" s="14" t="s">
        <v>14</v>
      </c>
      <c r="P79" s="18" t="s">
        <v>14</v>
      </c>
      <c r="Q79" s="14" t="s">
        <v>14</v>
      </c>
      <c r="R79" s="18" t="s">
        <v>14</v>
      </c>
      <c r="S79" s="14" t="s">
        <v>14</v>
      </c>
      <c r="T79" s="28"/>
      <c r="U79" s="14"/>
      <c r="V79" s="64"/>
      <c r="W79" s="83" t="s">
        <v>46</v>
      </c>
      <c r="X79" s="83"/>
      <c r="Y79" s="83"/>
    </row>
    <row r="80" spans="1:25" ht="25" customHeight="1">
      <c r="C80" s="20" t="s">
        <v>75</v>
      </c>
      <c r="D80" s="8">
        <f t="shared" si="3"/>
        <v>16</v>
      </c>
      <c r="E80" s="38" t="s">
        <v>99</v>
      </c>
      <c r="F80" s="13" t="s">
        <v>14</v>
      </c>
      <c r="G80" s="16" t="s">
        <v>14</v>
      </c>
      <c r="H80" s="13" t="s">
        <v>14</v>
      </c>
      <c r="I80" s="16" t="s">
        <v>14</v>
      </c>
      <c r="J80" s="18" t="s">
        <v>14</v>
      </c>
      <c r="K80" s="16" t="s">
        <v>14</v>
      </c>
      <c r="L80" s="15" t="s">
        <v>14</v>
      </c>
      <c r="M80" s="29"/>
      <c r="N80" s="19" t="s">
        <v>14</v>
      </c>
      <c r="O80" s="14" t="s">
        <v>14</v>
      </c>
      <c r="P80" s="18" t="s">
        <v>14</v>
      </c>
      <c r="Q80" s="14" t="s">
        <v>14</v>
      </c>
      <c r="R80" s="18" t="s">
        <v>14</v>
      </c>
      <c r="S80" s="14" t="s">
        <v>14</v>
      </c>
      <c r="T80" s="28"/>
      <c r="U80" s="14"/>
      <c r="V80" s="64"/>
      <c r="W80" s="83"/>
      <c r="X80" s="83"/>
      <c r="Y80" s="83"/>
    </row>
    <row r="81" spans="3:25" ht="25" customHeight="1">
      <c r="C81" s="20" t="s">
        <v>75</v>
      </c>
      <c r="D81" s="8">
        <f t="shared" si="3"/>
        <v>17</v>
      </c>
      <c r="E81" s="38" t="s">
        <v>98</v>
      </c>
      <c r="F81" s="13" t="s">
        <v>14</v>
      </c>
      <c r="G81" s="16" t="s">
        <v>14</v>
      </c>
      <c r="H81" s="13" t="s">
        <v>14</v>
      </c>
      <c r="I81" s="16" t="s">
        <v>14</v>
      </c>
      <c r="J81" s="18" t="s">
        <v>14</v>
      </c>
      <c r="K81" s="16" t="s">
        <v>14</v>
      </c>
      <c r="L81" s="15" t="s">
        <v>14</v>
      </c>
      <c r="M81" s="29"/>
      <c r="N81" s="19" t="s">
        <v>14</v>
      </c>
      <c r="O81" s="14" t="s">
        <v>14</v>
      </c>
      <c r="P81" s="18" t="s">
        <v>14</v>
      </c>
      <c r="Q81" s="14" t="s">
        <v>14</v>
      </c>
      <c r="R81" s="18" t="s">
        <v>14</v>
      </c>
      <c r="S81" s="14" t="s">
        <v>14</v>
      </c>
      <c r="T81" s="28"/>
      <c r="U81" s="14"/>
      <c r="V81" s="64"/>
      <c r="W81" s="83"/>
      <c r="X81" s="83"/>
      <c r="Y81" s="83"/>
    </row>
    <row r="82" spans="3:25" ht="25" customHeight="1">
      <c r="C82" s="20" t="s">
        <v>75</v>
      </c>
      <c r="D82" s="8">
        <f t="shared" si="3"/>
        <v>18</v>
      </c>
      <c r="E82" s="38" t="s">
        <v>20</v>
      </c>
      <c r="F82" s="13" t="s">
        <v>14</v>
      </c>
      <c r="G82" s="16" t="s">
        <v>14</v>
      </c>
      <c r="H82" s="13" t="s">
        <v>14</v>
      </c>
      <c r="I82" s="16" t="s">
        <v>14</v>
      </c>
      <c r="J82" s="18" t="s">
        <v>14</v>
      </c>
      <c r="K82" s="16" t="s">
        <v>14</v>
      </c>
      <c r="L82" s="15" t="s">
        <v>14</v>
      </c>
      <c r="M82" s="29"/>
      <c r="N82" s="19" t="s">
        <v>14</v>
      </c>
      <c r="O82" s="14" t="s">
        <v>14</v>
      </c>
      <c r="P82" s="18" t="s">
        <v>14</v>
      </c>
      <c r="Q82" s="14" t="s">
        <v>14</v>
      </c>
      <c r="R82" s="18" t="s">
        <v>14</v>
      </c>
      <c r="S82" s="14" t="s">
        <v>14</v>
      </c>
      <c r="T82" s="28"/>
      <c r="U82" s="14"/>
      <c r="V82" s="64"/>
      <c r="W82" s="83" t="s">
        <v>21</v>
      </c>
      <c r="X82" s="83"/>
      <c r="Y82" s="83"/>
    </row>
    <row r="83" spans="3:25" s="12" customFormat="1" ht="35" customHeight="1">
      <c r="J83" s="68"/>
    </row>
    <row r="84" spans="3:25" ht="25" customHeight="1">
      <c r="D84" s="85" t="s">
        <v>97</v>
      </c>
      <c r="E84" s="85"/>
      <c r="F84" s="85"/>
      <c r="G84" s="85"/>
      <c r="H84" s="85"/>
      <c r="I84" s="85"/>
      <c r="J84" s="85"/>
      <c r="K84" s="85"/>
      <c r="L84" s="85"/>
      <c r="M84" s="85"/>
      <c r="N84" s="85"/>
      <c r="O84" s="85"/>
      <c r="P84" s="85"/>
      <c r="Q84" s="85"/>
      <c r="R84" s="85"/>
      <c r="S84" s="85"/>
      <c r="T84" s="85"/>
      <c r="U84" s="85"/>
      <c r="V84" s="85"/>
      <c r="W84" s="85"/>
      <c r="X84" s="85"/>
      <c r="Y84" s="85"/>
    </row>
    <row r="85" spans="3:25" ht="25" customHeight="1">
      <c r="C85" s="17" t="s">
        <v>74</v>
      </c>
      <c r="D85" s="8">
        <f>D82+1</f>
        <v>19</v>
      </c>
      <c r="E85" s="35" t="s">
        <v>96</v>
      </c>
      <c r="F85" s="25">
        <f>F28</f>
        <v>10</v>
      </c>
      <c r="G85" s="16" t="s">
        <v>45</v>
      </c>
      <c r="H85" s="13"/>
      <c r="I85" s="16" t="s">
        <v>45</v>
      </c>
      <c r="J85" s="19"/>
      <c r="K85" s="16" t="s">
        <v>45</v>
      </c>
      <c r="L85" s="15"/>
      <c r="M85" s="14"/>
      <c r="N85" s="19">
        <f>SQRT((N86)^2 + (N87)^2)</f>
        <v>5.7741747769519819E-3</v>
      </c>
      <c r="O85" s="16" t="s">
        <v>45</v>
      </c>
      <c r="P85" s="19">
        <f>1/(F73*F63)</f>
        <v>-0.02</v>
      </c>
      <c r="Q85" s="16" t="s">
        <v>58</v>
      </c>
      <c r="R85" s="19">
        <f>P85*N85</f>
        <v>-1.1548349553903964E-4</v>
      </c>
      <c r="S85" s="14" t="s">
        <v>0</v>
      </c>
      <c r="T85" s="28">
        <f>(R85/$J$33)^2*100</f>
        <v>4.9373970949483405E-2</v>
      </c>
      <c r="U85" s="16" t="s">
        <v>11</v>
      </c>
      <c r="V85" s="15"/>
      <c r="W85" s="83"/>
      <c r="X85" s="83"/>
      <c r="Y85" s="83"/>
    </row>
    <row r="86" spans="3:25" ht="25" customHeight="1">
      <c r="C86" s="17" t="s">
        <v>74</v>
      </c>
      <c r="D86" s="8">
        <f>D85+1</f>
        <v>20</v>
      </c>
      <c r="E86" s="14" t="s">
        <v>56</v>
      </c>
      <c r="F86" s="13">
        <v>0</v>
      </c>
      <c r="G86" s="16" t="s">
        <v>45</v>
      </c>
      <c r="H86" s="28">
        <f>I9</f>
        <v>16</v>
      </c>
      <c r="I86" s="16" t="s">
        <v>62</v>
      </c>
      <c r="J86" s="19">
        <f>(I10*2)/2^H86</f>
        <v>3.0517578125E-4</v>
      </c>
      <c r="K86" s="16" t="s">
        <v>45</v>
      </c>
      <c r="L86" s="15" t="s">
        <v>82</v>
      </c>
      <c r="M86" s="29">
        <f>(2*SQRT(3))</f>
        <v>3.4641016151377544</v>
      </c>
      <c r="N86" s="19">
        <f>J86/M86</f>
        <v>8.8096659727420932E-5</v>
      </c>
      <c r="O86" s="16" t="s">
        <v>45</v>
      </c>
      <c r="P86" s="67">
        <v>1</v>
      </c>
      <c r="Q86" s="14" t="s">
        <v>2</v>
      </c>
      <c r="R86" s="18" t="s">
        <v>14</v>
      </c>
      <c r="S86" s="14" t="s">
        <v>14</v>
      </c>
      <c r="T86" s="28"/>
      <c r="U86" s="16" t="s">
        <v>11</v>
      </c>
      <c r="V86" s="15"/>
      <c r="W86" s="83"/>
      <c r="X86" s="83"/>
      <c r="Y86" s="83"/>
    </row>
    <row r="87" spans="3:25" ht="25" customHeight="1">
      <c r="C87" s="17" t="s">
        <v>74</v>
      </c>
      <c r="D87" s="8">
        <f t="shared" ref="D87:D91" si="6">D86+1</f>
        <v>21</v>
      </c>
      <c r="E87" s="14" t="s">
        <v>59</v>
      </c>
      <c r="F87" s="13">
        <v>0</v>
      </c>
      <c r="G87" s="16" t="s">
        <v>45</v>
      </c>
      <c r="H87" s="69">
        <f>X11</f>
        <v>0.1</v>
      </c>
      <c r="I87" s="16" t="s">
        <v>11</v>
      </c>
      <c r="J87" s="19">
        <f>(H87/100)*(I10)</f>
        <v>0.01</v>
      </c>
      <c r="K87" s="16" t="s">
        <v>45</v>
      </c>
      <c r="L87" s="15" t="s">
        <v>33</v>
      </c>
      <c r="M87" s="29">
        <f t="shared" ref="M87" si="7">(SQRT(3))</f>
        <v>1.7320508075688772</v>
      </c>
      <c r="N87" s="19">
        <f>J87/M87</f>
        <v>5.773502691896258E-3</v>
      </c>
      <c r="O87" s="16" t="s">
        <v>45</v>
      </c>
      <c r="P87" s="67">
        <v>1</v>
      </c>
      <c r="Q87" s="14" t="s">
        <v>2</v>
      </c>
      <c r="R87" s="18" t="s">
        <v>14</v>
      </c>
      <c r="S87" s="14" t="s">
        <v>14</v>
      </c>
      <c r="T87" s="28"/>
      <c r="U87" s="16" t="s">
        <v>11</v>
      </c>
      <c r="V87" s="15"/>
      <c r="W87" s="83"/>
      <c r="X87" s="83"/>
      <c r="Y87" s="83"/>
    </row>
    <row r="88" spans="3:25" ht="25" customHeight="1">
      <c r="C88" s="20" t="s">
        <v>75</v>
      </c>
      <c r="D88" s="8">
        <f t="shared" si="6"/>
        <v>22</v>
      </c>
      <c r="E88" s="20" t="s">
        <v>81</v>
      </c>
      <c r="F88" s="13" t="s">
        <v>14</v>
      </c>
      <c r="G88" s="16" t="s">
        <v>14</v>
      </c>
      <c r="H88" s="13" t="s">
        <v>14</v>
      </c>
      <c r="I88" s="16" t="s">
        <v>14</v>
      </c>
      <c r="J88" s="18" t="s">
        <v>14</v>
      </c>
      <c r="K88" s="16" t="s">
        <v>14</v>
      </c>
      <c r="L88" s="15" t="s">
        <v>14</v>
      </c>
      <c r="M88" s="29"/>
      <c r="N88" s="19" t="s">
        <v>14</v>
      </c>
      <c r="O88" s="14" t="s">
        <v>14</v>
      </c>
      <c r="P88" s="18" t="s">
        <v>14</v>
      </c>
      <c r="Q88" s="14" t="s">
        <v>14</v>
      </c>
      <c r="R88" s="18" t="s">
        <v>14</v>
      </c>
      <c r="S88" s="14" t="s">
        <v>14</v>
      </c>
      <c r="T88" s="28"/>
      <c r="U88" s="16"/>
      <c r="V88" s="15"/>
      <c r="W88" s="83"/>
      <c r="X88" s="83"/>
      <c r="Y88" s="83"/>
    </row>
    <row r="89" spans="3:25" ht="25" customHeight="1">
      <c r="C89" s="20" t="s">
        <v>75</v>
      </c>
      <c r="D89" s="8">
        <f t="shared" si="6"/>
        <v>23</v>
      </c>
      <c r="E89" s="38" t="s">
        <v>80</v>
      </c>
      <c r="F89" s="13" t="s">
        <v>14</v>
      </c>
      <c r="G89" s="16" t="s">
        <v>14</v>
      </c>
      <c r="H89" s="13" t="s">
        <v>14</v>
      </c>
      <c r="I89" s="16" t="s">
        <v>14</v>
      </c>
      <c r="J89" s="18" t="s">
        <v>14</v>
      </c>
      <c r="K89" s="16" t="s">
        <v>14</v>
      </c>
      <c r="L89" s="15" t="s">
        <v>14</v>
      </c>
      <c r="M89" s="29"/>
      <c r="N89" s="19" t="s">
        <v>14</v>
      </c>
      <c r="O89" s="14" t="s">
        <v>14</v>
      </c>
      <c r="P89" s="18" t="s">
        <v>14</v>
      </c>
      <c r="Q89" s="14" t="s">
        <v>14</v>
      </c>
      <c r="R89" s="18" t="s">
        <v>14</v>
      </c>
      <c r="S89" s="14" t="s">
        <v>14</v>
      </c>
      <c r="T89" s="28"/>
      <c r="U89" s="16"/>
      <c r="V89" s="15"/>
      <c r="W89" s="83"/>
      <c r="X89" s="83"/>
      <c r="Y89" s="83"/>
    </row>
    <row r="90" spans="3:25" ht="25" customHeight="1">
      <c r="C90" s="20" t="s">
        <v>75</v>
      </c>
      <c r="D90" s="8">
        <f t="shared" si="6"/>
        <v>24</v>
      </c>
      <c r="E90" s="38" t="s">
        <v>61</v>
      </c>
      <c r="F90" s="13" t="s">
        <v>14</v>
      </c>
      <c r="G90" s="16" t="s">
        <v>14</v>
      </c>
      <c r="H90" s="13" t="s">
        <v>14</v>
      </c>
      <c r="I90" s="16" t="s">
        <v>14</v>
      </c>
      <c r="J90" s="18" t="s">
        <v>14</v>
      </c>
      <c r="K90" s="16" t="s">
        <v>14</v>
      </c>
      <c r="L90" s="15" t="s">
        <v>14</v>
      </c>
      <c r="M90" s="29"/>
      <c r="N90" s="19" t="s">
        <v>14</v>
      </c>
      <c r="O90" s="14" t="s">
        <v>14</v>
      </c>
      <c r="P90" s="18" t="s">
        <v>14</v>
      </c>
      <c r="Q90" s="14" t="s">
        <v>14</v>
      </c>
      <c r="R90" s="18" t="s">
        <v>14</v>
      </c>
      <c r="S90" s="14" t="s">
        <v>14</v>
      </c>
      <c r="T90" s="28"/>
      <c r="U90" s="16" t="s">
        <v>11</v>
      </c>
      <c r="V90" s="15"/>
      <c r="W90" s="83"/>
      <c r="X90" s="83"/>
      <c r="Y90" s="83"/>
    </row>
    <row r="91" spans="3:25" ht="25" customHeight="1">
      <c r="C91" s="20" t="s">
        <v>75</v>
      </c>
      <c r="D91" s="8">
        <f t="shared" si="6"/>
        <v>25</v>
      </c>
      <c r="E91" s="38" t="s">
        <v>60</v>
      </c>
      <c r="F91" s="13" t="s">
        <v>14</v>
      </c>
      <c r="G91" s="16" t="s">
        <v>14</v>
      </c>
      <c r="H91" s="13" t="s">
        <v>14</v>
      </c>
      <c r="I91" s="16" t="s">
        <v>14</v>
      </c>
      <c r="J91" s="18" t="s">
        <v>14</v>
      </c>
      <c r="K91" s="16" t="s">
        <v>14</v>
      </c>
      <c r="L91" s="15" t="s">
        <v>14</v>
      </c>
      <c r="M91" s="29"/>
      <c r="N91" s="19" t="s">
        <v>14</v>
      </c>
      <c r="O91" s="14" t="s">
        <v>14</v>
      </c>
      <c r="P91" s="18" t="s">
        <v>14</v>
      </c>
      <c r="Q91" s="14" t="s">
        <v>14</v>
      </c>
      <c r="R91" s="18" t="s">
        <v>14</v>
      </c>
      <c r="S91" s="14" t="s">
        <v>14</v>
      </c>
      <c r="T91" s="28"/>
      <c r="U91" s="16" t="s">
        <v>11</v>
      </c>
      <c r="V91" s="15"/>
      <c r="W91" s="83" t="s">
        <v>63</v>
      </c>
      <c r="X91" s="83"/>
      <c r="Y91" s="83"/>
    </row>
    <row r="92" spans="3:25" s="12" customFormat="1" ht="35" customHeight="1">
      <c r="J92" s="68"/>
    </row>
    <row r="93" spans="3:25" ht="25">
      <c r="C93" s="20" t="s">
        <v>75</v>
      </c>
      <c r="D93" s="85" t="s">
        <v>6</v>
      </c>
      <c r="E93" s="85"/>
      <c r="F93" s="85"/>
      <c r="G93" s="85"/>
      <c r="H93" s="85"/>
      <c r="I93" s="85"/>
      <c r="J93" s="85"/>
      <c r="K93" s="85"/>
      <c r="L93" s="85"/>
      <c r="M93" s="85"/>
      <c r="N93" s="85"/>
      <c r="O93" s="85"/>
      <c r="P93" s="85"/>
      <c r="Q93" s="85"/>
      <c r="R93" s="85"/>
      <c r="S93" s="85"/>
      <c r="T93" s="85"/>
      <c r="U93" s="85"/>
      <c r="V93" s="85"/>
      <c r="W93" s="85"/>
      <c r="X93" s="85"/>
      <c r="Y93" s="85"/>
    </row>
    <row r="94" spans="3:25">
      <c r="D94" s="8">
        <f>D91+1</f>
        <v>26</v>
      </c>
      <c r="E94" s="14"/>
      <c r="F94" s="13"/>
      <c r="G94" s="16"/>
      <c r="H94" s="13"/>
      <c r="I94" s="16"/>
      <c r="J94" s="19"/>
      <c r="K94" s="16"/>
      <c r="L94" s="15"/>
      <c r="M94" s="29"/>
      <c r="N94" s="19"/>
      <c r="O94" s="14"/>
      <c r="P94" s="19"/>
      <c r="Q94" s="14"/>
      <c r="R94" s="19"/>
      <c r="S94" s="14"/>
      <c r="T94" s="28"/>
      <c r="U94" s="16" t="s">
        <v>11</v>
      </c>
      <c r="V94" s="70"/>
      <c r="W94" s="83"/>
      <c r="X94" s="83"/>
      <c r="Y94" s="83"/>
    </row>
    <row r="95" spans="3:25">
      <c r="D95" s="8">
        <f>D94+1</f>
        <v>27</v>
      </c>
      <c r="E95" s="14"/>
      <c r="F95" s="13"/>
      <c r="G95" s="16"/>
      <c r="H95" s="13"/>
      <c r="I95" s="16"/>
      <c r="J95" s="19"/>
      <c r="K95" s="16"/>
      <c r="L95" s="15"/>
      <c r="M95" s="29"/>
      <c r="N95" s="19"/>
      <c r="O95" s="14"/>
      <c r="P95" s="19"/>
      <c r="Q95" s="14"/>
      <c r="R95" s="19"/>
      <c r="S95" s="14"/>
      <c r="T95" s="28"/>
      <c r="U95" s="16" t="s">
        <v>11</v>
      </c>
      <c r="V95" s="70"/>
      <c r="W95" s="83"/>
      <c r="X95" s="83"/>
      <c r="Y95" s="83"/>
    </row>
    <row r="96" spans="3:25">
      <c r="D96" s="8">
        <f t="shared" ref="D96:D97" si="8">D95+1</f>
        <v>28</v>
      </c>
      <c r="E96" s="14"/>
      <c r="F96" s="13"/>
      <c r="G96" s="16"/>
      <c r="H96" s="13"/>
      <c r="I96" s="16"/>
      <c r="J96" s="19"/>
      <c r="K96" s="16"/>
      <c r="L96" s="15"/>
      <c r="M96" s="29"/>
      <c r="N96" s="19"/>
      <c r="O96" s="14"/>
      <c r="P96" s="19"/>
      <c r="Q96" s="14"/>
      <c r="R96" s="19"/>
      <c r="S96" s="14"/>
      <c r="T96" s="28"/>
      <c r="U96" s="16" t="s">
        <v>11</v>
      </c>
      <c r="V96" s="70"/>
      <c r="W96" s="83"/>
      <c r="X96" s="83"/>
      <c r="Y96" s="83"/>
    </row>
    <row r="97" spans="3:25">
      <c r="D97" s="8">
        <f t="shared" si="8"/>
        <v>29</v>
      </c>
      <c r="E97" s="14"/>
      <c r="F97" s="13"/>
      <c r="G97" s="16"/>
      <c r="H97" s="13"/>
      <c r="I97" s="16"/>
      <c r="J97" s="19"/>
      <c r="K97" s="16"/>
      <c r="L97" s="15"/>
      <c r="M97" s="29"/>
      <c r="N97" s="19"/>
      <c r="O97" s="14"/>
      <c r="P97" s="19"/>
      <c r="Q97" s="14"/>
      <c r="R97" s="19"/>
      <c r="S97" s="14"/>
      <c r="T97" s="28"/>
      <c r="U97" s="16" t="s">
        <v>11</v>
      </c>
      <c r="V97" s="70"/>
      <c r="W97" s="83"/>
      <c r="X97" s="83"/>
      <c r="Y97" s="83"/>
    </row>
    <row r="98" spans="3:25">
      <c r="D98" s="8">
        <f>D97+1</f>
        <v>30</v>
      </c>
      <c r="E98" s="14"/>
      <c r="F98" s="13"/>
      <c r="G98" s="16"/>
      <c r="H98" s="13"/>
      <c r="I98" s="16"/>
      <c r="J98" s="19"/>
      <c r="K98" s="16"/>
      <c r="L98" s="15"/>
      <c r="M98" s="29"/>
      <c r="N98" s="19"/>
      <c r="O98" s="14"/>
      <c r="P98" s="19"/>
      <c r="Q98" s="14"/>
      <c r="R98" s="19"/>
      <c r="S98" s="14"/>
      <c r="T98" s="28"/>
      <c r="U98" s="16" t="s">
        <v>11</v>
      </c>
      <c r="V98" s="70"/>
      <c r="W98" s="83"/>
      <c r="X98" s="83"/>
      <c r="Y98" s="83"/>
    </row>
    <row r="99" spans="3:25" s="12" customFormat="1" ht="35" customHeight="1"/>
    <row r="100" spans="3:25" ht="25">
      <c r="C100" s="20" t="s">
        <v>75</v>
      </c>
      <c r="D100" s="85" t="s">
        <v>7</v>
      </c>
      <c r="E100" s="85"/>
      <c r="F100" s="85"/>
      <c r="G100" s="85"/>
      <c r="H100" s="85"/>
      <c r="I100" s="85"/>
      <c r="J100" s="85"/>
      <c r="K100" s="85"/>
      <c r="L100" s="85"/>
      <c r="M100" s="85"/>
      <c r="N100" s="85"/>
      <c r="O100" s="85"/>
      <c r="P100" s="85"/>
      <c r="Q100" s="85"/>
      <c r="R100" s="85"/>
      <c r="S100" s="85"/>
      <c r="T100" s="85"/>
      <c r="U100" s="85"/>
      <c r="V100" s="85"/>
      <c r="W100" s="85"/>
      <c r="X100" s="85"/>
      <c r="Y100" s="85"/>
    </row>
    <row r="101" spans="3:25" ht="18" customHeight="1">
      <c r="D101" s="84" t="s">
        <v>8</v>
      </c>
      <c r="E101" s="84"/>
      <c r="F101" s="84"/>
      <c r="G101" s="84"/>
      <c r="H101" s="84"/>
      <c r="I101" s="84"/>
      <c r="J101" s="84"/>
      <c r="K101" s="84"/>
      <c r="L101" s="84"/>
      <c r="M101" s="84"/>
      <c r="N101" s="84"/>
      <c r="O101" s="84"/>
      <c r="P101" s="84"/>
      <c r="Q101" s="84"/>
      <c r="R101" s="84"/>
      <c r="S101" s="84"/>
      <c r="T101" s="84"/>
      <c r="U101" s="84"/>
      <c r="V101" s="84"/>
      <c r="W101" s="84"/>
      <c r="X101" s="84"/>
      <c r="Y101" s="84"/>
    </row>
    <row r="102" spans="3:25">
      <c r="D102" s="8">
        <f>D98+1</f>
        <v>31</v>
      </c>
      <c r="E102" s="14"/>
      <c r="F102" s="13"/>
      <c r="G102" s="16"/>
      <c r="H102" s="13"/>
      <c r="I102" s="16"/>
      <c r="J102" s="19"/>
      <c r="K102" s="16"/>
      <c r="L102" s="15"/>
      <c r="M102" s="29"/>
      <c r="N102" s="19"/>
      <c r="O102" s="14"/>
      <c r="P102" s="19"/>
      <c r="Q102" s="14"/>
      <c r="R102" s="19"/>
      <c r="S102" s="14"/>
      <c r="T102" s="28"/>
      <c r="U102" s="16" t="s">
        <v>11</v>
      </c>
      <c r="V102" s="70"/>
      <c r="W102" s="83"/>
      <c r="X102" s="83"/>
      <c r="Y102" s="83"/>
    </row>
    <row r="103" spans="3:25">
      <c r="D103" s="8">
        <f>D102+1</f>
        <v>32</v>
      </c>
      <c r="E103" s="14"/>
      <c r="F103" s="13"/>
      <c r="G103" s="16"/>
      <c r="H103" s="13"/>
      <c r="I103" s="16"/>
      <c r="J103" s="19"/>
      <c r="K103" s="16"/>
      <c r="L103" s="15"/>
      <c r="M103" s="29"/>
      <c r="N103" s="19"/>
      <c r="O103" s="14"/>
      <c r="P103" s="19"/>
      <c r="Q103" s="14"/>
      <c r="R103" s="19"/>
      <c r="S103" s="14"/>
      <c r="T103" s="28"/>
      <c r="U103" s="16" t="s">
        <v>11</v>
      </c>
      <c r="V103" s="70"/>
      <c r="W103" s="83"/>
      <c r="X103" s="83"/>
      <c r="Y103" s="83"/>
    </row>
    <row r="104" spans="3:25">
      <c r="D104" s="8">
        <f t="shared" ref="D104:D105" si="9">D103+1</f>
        <v>33</v>
      </c>
      <c r="E104" s="14"/>
      <c r="F104" s="13"/>
      <c r="G104" s="16"/>
      <c r="H104" s="13"/>
      <c r="I104" s="16"/>
      <c r="J104" s="19"/>
      <c r="K104" s="16"/>
      <c r="L104" s="15"/>
      <c r="M104" s="29"/>
      <c r="N104" s="19"/>
      <c r="O104" s="14"/>
      <c r="P104" s="19"/>
      <c r="Q104" s="14"/>
      <c r="R104" s="19"/>
      <c r="S104" s="14"/>
      <c r="T104" s="28"/>
      <c r="U104" s="16" t="s">
        <v>11</v>
      </c>
      <c r="V104" s="70"/>
      <c r="W104" s="83"/>
      <c r="X104" s="83"/>
      <c r="Y104" s="83"/>
    </row>
    <row r="105" spans="3:25">
      <c r="D105" s="8">
        <f t="shared" si="9"/>
        <v>34</v>
      </c>
      <c r="E105" s="14"/>
      <c r="F105" s="13"/>
      <c r="G105" s="16"/>
      <c r="H105" s="13"/>
      <c r="I105" s="16"/>
      <c r="J105" s="19"/>
      <c r="K105" s="16"/>
      <c r="L105" s="15"/>
      <c r="M105" s="29"/>
      <c r="N105" s="19"/>
      <c r="O105" s="14"/>
      <c r="P105" s="19"/>
      <c r="Q105" s="14"/>
      <c r="R105" s="19"/>
      <c r="S105" s="14"/>
      <c r="T105" s="28"/>
      <c r="U105" s="16" t="s">
        <v>11</v>
      </c>
      <c r="V105" s="70"/>
      <c r="W105" s="83"/>
      <c r="X105" s="83"/>
      <c r="Y105" s="83"/>
    </row>
    <row r="106" spans="3:25">
      <c r="D106" s="8">
        <f>D105+1</f>
        <v>35</v>
      </c>
      <c r="E106" s="14"/>
      <c r="F106" s="13"/>
      <c r="G106" s="16"/>
      <c r="H106" s="13"/>
      <c r="I106" s="16"/>
      <c r="J106" s="19"/>
      <c r="K106" s="16"/>
      <c r="L106" s="15"/>
      <c r="M106" s="29"/>
      <c r="N106" s="19"/>
      <c r="O106" s="14"/>
      <c r="P106" s="19"/>
      <c r="Q106" s="14"/>
      <c r="R106" s="19"/>
      <c r="S106" s="14"/>
      <c r="T106" s="28"/>
      <c r="U106" s="16" t="s">
        <v>11</v>
      </c>
      <c r="V106" s="70"/>
      <c r="W106" s="83"/>
      <c r="X106" s="83"/>
      <c r="Y106" s="83"/>
    </row>
    <row r="107" spans="3:25" ht="18" customHeight="1">
      <c r="D107" s="84" t="s">
        <v>9</v>
      </c>
      <c r="E107" s="84"/>
      <c r="F107" s="84"/>
      <c r="G107" s="84"/>
      <c r="H107" s="84"/>
      <c r="I107" s="84"/>
      <c r="J107" s="84"/>
      <c r="K107" s="84"/>
      <c r="L107" s="84"/>
      <c r="M107" s="84"/>
      <c r="N107" s="84"/>
      <c r="O107" s="84"/>
      <c r="P107" s="84"/>
      <c r="Q107" s="84"/>
      <c r="R107" s="84"/>
      <c r="S107" s="84"/>
      <c r="T107" s="84"/>
      <c r="U107" s="84"/>
      <c r="V107" s="84"/>
      <c r="W107" s="84"/>
      <c r="X107" s="84"/>
      <c r="Y107" s="84"/>
    </row>
    <row r="108" spans="3:25">
      <c r="D108" s="8">
        <f>D106+1</f>
        <v>36</v>
      </c>
      <c r="E108" s="14"/>
      <c r="F108" s="13"/>
      <c r="G108" s="16"/>
      <c r="H108" s="13"/>
      <c r="I108" s="16"/>
      <c r="J108" s="19"/>
      <c r="K108" s="16"/>
      <c r="L108" s="15"/>
      <c r="M108" s="29"/>
      <c r="N108" s="19"/>
      <c r="O108" s="14"/>
      <c r="P108" s="19"/>
      <c r="Q108" s="14"/>
      <c r="R108" s="19"/>
      <c r="S108" s="14"/>
      <c r="T108" s="28"/>
      <c r="U108" s="16" t="s">
        <v>11</v>
      </c>
      <c r="V108" s="70"/>
      <c r="W108" s="83"/>
      <c r="X108" s="83"/>
      <c r="Y108" s="83"/>
    </row>
    <row r="109" spans="3:25">
      <c r="D109" s="8">
        <f>D108+1</f>
        <v>37</v>
      </c>
      <c r="E109" s="14"/>
      <c r="F109" s="13"/>
      <c r="G109" s="16"/>
      <c r="H109" s="13"/>
      <c r="I109" s="16"/>
      <c r="J109" s="19"/>
      <c r="K109" s="16"/>
      <c r="L109" s="15"/>
      <c r="M109" s="29"/>
      <c r="N109" s="19"/>
      <c r="O109" s="14"/>
      <c r="P109" s="19"/>
      <c r="Q109" s="14"/>
      <c r="R109" s="19"/>
      <c r="S109" s="14"/>
      <c r="T109" s="28"/>
      <c r="U109" s="16" t="s">
        <v>11</v>
      </c>
      <c r="V109" s="70"/>
      <c r="W109" s="83"/>
      <c r="X109" s="83"/>
      <c r="Y109" s="83"/>
    </row>
    <row r="110" spans="3:25">
      <c r="D110" s="8">
        <f t="shared" ref="D110:D111" si="10">D109+1</f>
        <v>38</v>
      </c>
      <c r="E110" s="14"/>
      <c r="F110" s="13"/>
      <c r="G110" s="16"/>
      <c r="H110" s="13"/>
      <c r="I110" s="16"/>
      <c r="J110" s="19"/>
      <c r="K110" s="16"/>
      <c r="L110" s="15"/>
      <c r="M110" s="29"/>
      <c r="N110" s="19"/>
      <c r="O110" s="14"/>
      <c r="P110" s="19"/>
      <c r="Q110" s="14"/>
      <c r="R110" s="19"/>
      <c r="S110" s="14"/>
      <c r="T110" s="28"/>
      <c r="U110" s="16" t="s">
        <v>11</v>
      </c>
      <c r="V110" s="70"/>
      <c r="W110" s="83"/>
      <c r="X110" s="83"/>
      <c r="Y110" s="83"/>
    </row>
    <row r="111" spans="3:25">
      <c r="D111" s="8">
        <f t="shared" si="10"/>
        <v>39</v>
      </c>
      <c r="E111" s="14"/>
      <c r="F111" s="13"/>
      <c r="G111" s="16"/>
      <c r="H111" s="13"/>
      <c r="I111" s="16"/>
      <c r="J111" s="19"/>
      <c r="K111" s="16"/>
      <c r="L111" s="15"/>
      <c r="M111" s="29"/>
      <c r="N111" s="19"/>
      <c r="O111" s="14"/>
      <c r="P111" s="19"/>
      <c r="Q111" s="14"/>
      <c r="R111" s="19"/>
      <c r="S111" s="14"/>
      <c r="T111" s="28"/>
      <c r="U111" s="16" t="s">
        <v>11</v>
      </c>
      <c r="V111" s="70"/>
      <c r="W111" s="83"/>
      <c r="X111" s="83"/>
      <c r="Y111" s="83"/>
    </row>
    <row r="112" spans="3:25">
      <c r="D112" s="8">
        <f>D111+1</f>
        <v>40</v>
      </c>
      <c r="E112" s="14"/>
      <c r="F112" s="13"/>
      <c r="G112" s="16"/>
      <c r="H112" s="13"/>
      <c r="I112" s="16"/>
      <c r="J112" s="19"/>
      <c r="K112" s="16"/>
      <c r="L112" s="15"/>
      <c r="M112" s="29"/>
      <c r="N112" s="19"/>
      <c r="O112" s="14"/>
      <c r="P112" s="19"/>
      <c r="Q112" s="14"/>
      <c r="R112" s="19"/>
      <c r="S112" s="14"/>
      <c r="T112" s="28"/>
      <c r="U112" s="16" t="s">
        <v>11</v>
      </c>
      <c r="V112" s="70"/>
      <c r="W112" s="83"/>
      <c r="X112" s="83"/>
      <c r="Y112" s="83"/>
    </row>
    <row r="113" spans="3:25" ht="18" customHeight="1">
      <c r="D113" s="84" t="s">
        <v>10</v>
      </c>
      <c r="E113" s="84"/>
      <c r="F113" s="84"/>
      <c r="G113" s="84"/>
      <c r="H113" s="84"/>
      <c r="I113" s="84"/>
      <c r="J113" s="84"/>
      <c r="K113" s="84"/>
      <c r="L113" s="84"/>
      <c r="M113" s="84"/>
      <c r="N113" s="84"/>
      <c r="O113" s="84"/>
      <c r="P113" s="84"/>
      <c r="Q113" s="84"/>
      <c r="R113" s="84"/>
      <c r="S113" s="84"/>
      <c r="T113" s="84"/>
      <c r="U113" s="84"/>
      <c r="V113" s="84"/>
      <c r="W113" s="84"/>
      <c r="X113" s="84"/>
      <c r="Y113" s="84"/>
    </row>
    <row r="114" spans="3:25">
      <c r="D114" s="8">
        <f>D112+1</f>
        <v>41</v>
      </c>
      <c r="E114" s="14"/>
      <c r="F114" s="13"/>
      <c r="G114" s="16"/>
      <c r="H114" s="13"/>
      <c r="I114" s="16"/>
      <c r="J114" s="19"/>
      <c r="K114" s="16"/>
      <c r="L114" s="15"/>
      <c r="M114" s="29"/>
      <c r="N114" s="19"/>
      <c r="O114" s="14"/>
      <c r="P114" s="19"/>
      <c r="Q114" s="14"/>
      <c r="R114" s="19"/>
      <c r="S114" s="14"/>
      <c r="T114" s="28"/>
      <c r="U114" s="16" t="s">
        <v>11</v>
      </c>
      <c r="V114" s="70"/>
      <c r="W114" s="83"/>
      <c r="X114" s="83"/>
      <c r="Y114" s="83"/>
    </row>
    <row r="115" spans="3:25">
      <c r="D115" s="8">
        <f>D114+1</f>
        <v>42</v>
      </c>
      <c r="E115" s="14"/>
      <c r="F115" s="13"/>
      <c r="G115" s="16"/>
      <c r="H115" s="13"/>
      <c r="I115" s="16"/>
      <c r="J115" s="19"/>
      <c r="K115" s="16"/>
      <c r="L115" s="15"/>
      <c r="M115" s="29"/>
      <c r="N115" s="19"/>
      <c r="O115" s="14"/>
      <c r="P115" s="19"/>
      <c r="Q115" s="14"/>
      <c r="R115" s="19"/>
      <c r="S115" s="14"/>
      <c r="T115" s="28"/>
      <c r="U115" s="16" t="s">
        <v>11</v>
      </c>
      <c r="V115" s="70"/>
      <c r="W115" s="83"/>
      <c r="X115" s="83"/>
      <c r="Y115" s="83"/>
    </row>
    <row r="116" spans="3:25">
      <c r="D116" s="8">
        <f t="shared" ref="D116:D117" si="11">D115+1</f>
        <v>43</v>
      </c>
      <c r="E116" s="14"/>
      <c r="F116" s="13"/>
      <c r="G116" s="16"/>
      <c r="H116" s="13"/>
      <c r="I116" s="16"/>
      <c r="J116" s="19"/>
      <c r="K116" s="16"/>
      <c r="L116" s="15"/>
      <c r="M116" s="29"/>
      <c r="N116" s="19"/>
      <c r="O116" s="14"/>
      <c r="P116" s="19"/>
      <c r="Q116" s="14"/>
      <c r="R116" s="19"/>
      <c r="S116" s="14"/>
      <c r="T116" s="28"/>
      <c r="U116" s="16" t="s">
        <v>11</v>
      </c>
      <c r="V116" s="70"/>
      <c r="W116" s="83"/>
      <c r="X116" s="83"/>
      <c r="Y116" s="83"/>
    </row>
    <row r="117" spans="3:25">
      <c r="D117" s="8">
        <f t="shared" si="11"/>
        <v>44</v>
      </c>
      <c r="E117" s="14"/>
      <c r="F117" s="13"/>
      <c r="G117" s="16"/>
      <c r="H117" s="13"/>
      <c r="I117" s="16"/>
      <c r="J117" s="19"/>
      <c r="K117" s="16"/>
      <c r="L117" s="15"/>
      <c r="M117" s="29"/>
      <c r="N117" s="19"/>
      <c r="O117" s="14"/>
      <c r="P117" s="19"/>
      <c r="Q117" s="14"/>
      <c r="R117" s="19"/>
      <c r="S117" s="14"/>
      <c r="T117" s="28"/>
      <c r="U117" s="16" t="s">
        <v>11</v>
      </c>
      <c r="V117" s="70"/>
      <c r="W117" s="83"/>
      <c r="X117" s="83"/>
      <c r="Y117" s="83"/>
    </row>
    <row r="118" spans="3:25">
      <c r="D118" s="8">
        <f>D117+1</f>
        <v>45</v>
      </c>
      <c r="E118" s="14"/>
      <c r="F118" s="13"/>
      <c r="G118" s="16"/>
      <c r="H118" s="13"/>
      <c r="I118" s="16"/>
      <c r="J118" s="19"/>
      <c r="K118" s="16"/>
      <c r="L118" s="15"/>
      <c r="M118" s="29"/>
      <c r="N118" s="19"/>
      <c r="O118" s="14"/>
      <c r="P118" s="19"/>
      <c r="Q118" s="14"/>
      <c r="R118" s="19"/>
      <c r="S118" s="14"/>
      <c r="T118" s="28"/>
      <c r="U118" s="16" t="s">
        <v>11</v>
      </c>
      <c r="V118" s="70"/>
      <c r="W118" s="83"/>
      <c r="X118" s="83"/>
      <c r="Y118" s="83"/>
    </row>
    <row r="119" spans="3:25" s="12" customFormat="1" ht="35" customHeight="1"/>
    <row r="120" spans="3:25" ht="25">
      <c r="C120" s="20" t="s">
        <v>75</v>
      </c>
      <c r="D120" s="85" t="s">
        <v>23</v>
      </c>
      <c r="E120" s="85"/>
      <c r="F120" s="85"/>
      <c r="G120" s="85"/>
      <c r="H120" s="85"/>
      <c r="I120" s="85"/>
      <c r="J120" s="85"/>
      <c r="K120" s="85"/>
      <c r="L120" s="85"/>
      <c r="M120" s="85"/>
      <c r="N120" s="85"/>
      <c r="O120" s="85"/>
      <c r="P120" s="85"/>
      <c r="Q120" s="85"/>
      <c r="R120" s="85"/>
      <c r="S120" s="85"/>
      <c r="T120" s="85"/>
      <c r="U120" s="85"/>
      <c r="V120" s="85"/>
      <c r="W120" s="85"/>
      <c r="X120" s="85"/>
      <c r="Y120" s="85"/>
    </row>
    <row r="121" spans="3:25" ht="18" customHeight="1">
      <c r="D121" s="84" t="s">
        <v>24</v>
      </c>
      <c r="E121" s="84"/>
      <c r="F121" s="84"/>
      <c r="G121" s="84"/>
      <c r="H121" s="84"/>
      <c r="I121" s="84"/>
      <c r="J121" s="84"/>
      <c r="K121" s="84"/>
      <c r="L121" s="84"/>
      <c r="M121" s="84"/>
      <c r="N121" s="84"/>
      <c r="O121" s="84"/>
      <c r="P121" s="84"/>
      <c r="Q121" s="84"/>
      <c r="R121" s="84"/>
      <c r="S121" s="84"/>
      <c r="T121" s="84"/>
      <c r="U121" s="84"/>
      <c r="V121" s="84"/>
      <c r="W121" s="84"/>
      <c r="X121" s="84"/>
      <c r="Y121" s="84"/>
    </row>
    <row r="122" spans="3:25">
      <c r="D122" s="8">
        <f>D118+1</f>
        <v>46</v>
      </c>
      <c r="E122" s="14"/>
      <c r="F122" s="13"/>
      <c r="G122" s="16"/>
      <c r="H122" s="13"/>
      <c r="I122" s="16"/>
      <c r="J122" s="19"/>
      <c r="K122" s="16"/>
      <c r="L122" s="15"/>
      <c r="M122" s="29"/>
      <c r="N122" s="19"/>
      <c r="O122" s="14"/>
      <c r="P122" s="19"/>
      <c r="Q122" s="14"/>
      <c r="R122" s="19"/>
      <c r="S122" s="14"/>
      <c r="T122" s="28"/>
      <c r="U122" s="70" t="s">
        <v>11</v>
      </c>
      <c r="V122" s="70"/>
      <c r="W122" s="83"/>
      <c r="X122" s="83"/>
      <c r="Y122" s="83"/>
    </row>
    <row r="123" spans="3:25">
      <c r="D123" s="8">
        <f>D122+1</f>
        <v>47</v>
      </c>
      <c r="E123" s="14"/>
      <c r="F123" s="13"/>
      <c r="G123" s="16"/>
      <c r="H123" s="13"/>
      <c r="I123" s="16"/>
      <c r="J123" s="19"/>
      <c r="K123" s="16"/>
      <c r="L123" s="15"/>
      <c r="M123" s="29"/>
      <c r="N123" s="19"/>
      <c r="O123" s="14"/>
      <c r="P123" s="19"/>
      <c r="Q123" s="14"/>
      <c r="R123" s="19"/>
      <c r="S123" s="14"/>
      <c r="T123" s="28"/>
      <c r="U123" s="70" t="s">
        <v>11</v>
      </c>
      <c r="V123" s="70"/>
      <c r="W123" s="83"/>
      <c r="X123" s="83"/>
      <c r="Y123" s="83"/>
    </row>
    <row r="124" spans="3:25">
      <c r="D124" s="8">
        <f t="shared" ref="D124:D125" si="12">D123+1</f>
        <v>48</v>
      </c>
      <c r="E124" s="14"/>
      <c r="F124" s="13"/>
      <c r="G124" s="16"/>
      <c r="H124" s="13"/>
      <c r="I124" s="16"/>
      <c r="J124" s="19"/>
      <c r="K124" s="16"/>
      <c r="L124" s="15"/>
      <c r="M124" s="29"/>
      <c r="N124" s="19"/>
      <c r="O124" s="14"/>
      <c r="P124" s="19"/>
      <c r="Q124" s="14"/>
      <c r="R124" s="19"/>
      <c r="S124" s="14"/>
      <c r="T124" s="28"/>
      <c r="U124" s="70" t="s">
        <v>11</v>
      </c>
      <c r="V124" s="70"/>
      <c r="W124" s="83"/>
      <c r="X124" s="83"/>
      <c r="Y124" s="83"/>
    </row>
    <row r="125" spans="3:25">
      <c r="D125" s="8">
        <f t="shared" si="12"/>
        <v>49</v>
      </c>
      <c r="E125" s="14"/>
      <c r="F125" s="13"/>
      <c r="G125" s="16"/>
      <c r="H125" s="13"/>
      <c r="I125" s="16"/>
      <c r="J125" s="19"/>
      <c r="K125" s="16"/>
      <c r="L125" s="15"/>
      <c r="M125" s="29"/>
      <c r="N125" s="19"/>
      <c r="O125" s="14"/>
      <c r="P125" s="19"/>
      <c r="Q125" s="14"/>
      <c r="R125" s="19"/>
      <c r="S125" s="14"/>
      <c r="T125" s="28"/>
      <c r="U125" s="70" t="s">
        <v>11</v>
      </c>
      <c r="V125" s="70"/>
      <c r="W125" s="83"/>
      <c r="X125" s="83"/>
      <c r="Y125" s="83"/>
    </row>
    <row r="126" spans="3:25">
      <c r="D126" s="8">
        <f>D125+1</f>
        <v>50</v>
      </c>
      <c r="E126" s="14"/>
      <c r="F126" s="13"/>
      <c r="G126" s="16"/>
      <c r="H126" s="13"/>
      <c r="I126" s="16"/>
      <c r="J126" s="19"/>
      <c r="K126" s="16"/>
      <c r="L126" s="15"/>
      <c r="M126" s="29"/>
      <c r="N126" s="19"/>
      <c r="O126" s="14"/>
      <c r="P126" s="19"/>
      <c r="Q126" s="14"/>
      <c r="R126" s="19"/>
      <c r="S126" s="14"/>
      <c r="T126" s="28"/>
      <c r="U126" s="70" t="s">
        <v>11</v>
      </c>
      <c r="V126" s="70"/>
      <c r="W126" s="83"/>
      <c r="X126" s="83"/>
      <c r="Y126" s="83"/>
    </row>
  </sheetData>
  <mergeCells count="93">
    <mergeCell ref="W126:Y126"/>
    <mergeCell ref="D120:Y120"/>
    <mergeCell ref="D121:Y121"/>
    <mergeCell ref="W122:Y122"/>
    <mergeCell ref="W123:Y123"/>
    <mergeCell ref="W124:Y124"/>
    <mergeCell ref="W125:Y125"/>
    <mergeCell ref="D113:Y113"/>
    <mergeCell ref="W114:Y114"/>
    <mergeCell ref="W115:Y115"/>
    <mergeCell ref="W116:Y116"/>
    <mergeCell ref="W117:Y117"/>
    <mergeCell ref="W118:Y118"/>
    <mergeCell ref="D107:Y107"/>
    <mergeCell ref="W108:Y108"/>
    <mergeCell ref="W109:Y109"/>
    <mergeCell ref="W110:Y110"/>
    <mergeCell ref="W111:Y111"/>
    <mergeCell ref="W112:Y112"/>
    <mergeCell ref="D101:Y101"/>
    <mergeCell ref="W102:Y102"/>
    <mergeCell ref="W103:Y103"/>
    <mergeCell ref="W104:Y104"/>
    <mergeCell ref="W105:Y105"/>
    <mergeCell ref="W106:Y106"/>
    <mergeCell ref="W94:Y94"/>
    <mergeCell ref="W95:Y95"/>
    <mergeCell ref="W96:Y96"/>
    <mergeCell ref="W97:Y97"/>
    <mergeCell ref="W98:Y98"/>
    <mergeCell ref="D100:Y100"/>
    <mergeCell ref="W87:Y87"/>
    <mergeCell ref="W88:Y88"/>
    <mergeCell ref="W89:Y89"/>
    <mergeCell ref="W90:Y90"/>
    <mergeCell ref="W91:Y91"/>
    <mergeCell ref="D93:Y93"/>
    <mergeCell ref="W80:Y80"/>
    <mergeCell ref="W81:Y81"/>
    <mergeCell ref="W82:Y82"/>
    <mergeCell ref="D84:Y84"/>
    <mergeCell ref="W85:Y85"/>
    <mergeCell ref="W86:Y86"/>
    <mergeCell ref="W74:Y74"/>
    <mergeCell ref="W75:Y75"/>
    <mergeCell ref="W76:Y76"/>
    <mergeCell ref="W77:Y77"/>
    <mergeCell ref="W78:Y78"/>
    <mergeCell ref="W79:Y79"/>
    <mergeCell ref="W67:Y67"/>
    <mergeCell ref="W68:Y68"/>
    <mergeCell ref="W69:Y69"/>
    <mergeCell ref="W70:Y70"/>
    <mergeCell ref="D72:Y72"/>
    <mergeCell ref="W73:Y73"/>
    <mergeCell ref="W60:Y60"/>
    <mergeCell ref="D62:Y62"/>
    <mergeCell ref="W63:Y63"/>
    <mergeCell ref="W64:Y64"/>
    <mergeCell ref="W65:Y65"/>
    <mergeCell ref="W66:Y66"/>
    <mergeCell ref="F60:G60"/>
    <mergeCell ref="H60:K60"/>
    <mergeCell ref="N60:O60"/>
    <mergeCell ref="P60:Q60"/>
    <mergeCell ref="R60:S60"/>
    <mergeCell ref="T60:U60"/>
    <mergeCell ref="X13:Y14"/>
    <mergeCell ref="E26:G26"/>
    <mergeCell ref="E30:T30"/>
    <mergeCell ref="E31:E32"/>
    <mergeCell ref="F31:G32"/>
    <mergeCell ref="H31:I32"/>
    <mergeCell ref="J31:K32"/>
    <mergeCell ref="L31:M32"/>
    <mergeCell ref="N31:O32"/>
    <mergeCell ref="P31:T31"/>
    <mergeCell ref="C9:D10"/>
    <mergeCell ref="K9:L9"/>
    <mergeCell ref="N9:O9"/>
    <mergeCell ref="R9:R10"/>
    <mergeCell ref="S9:T9"/>
    <mergeCell ref="C11:D12"/>
    <mergeCell ref="E12:E23"/>
    <mergeCell ref="N12:N13"/>
    <mergeCell ref="D2:Y5"/>
    <mergeCell ref="E7:J7"/>
    <mergeCell ref="K7:Y7"/>
    <mergeCell ref="E8:G8"/>
    <mergeCell ref="H8:J8"/>
    <mergeCell ref="K8:Q8"/>
    <mergeCell ref="R8:W8"/>
    <mergeCell ref="X8:Y8"/>
  </mergeCells>
  <conditionalFormatting sqref="H27">
    <cfRule type="containsText" dxfId="1" priority="1" operator="containsText" text="OK">
      <formula>NOT(ISERROR(SEARCH("OK",H27)))</formula>
    </cfRule>
    <cfRule type="containsText" dxfId="0" priority="2" stopIfTrue="1" operator="containsText" text="OUt of Calibration Range !!!">
      <formula>NOT(ISERROR(SEARCH("OUt of Calibration Range !!!",H27)))</formula>
    </cfRule>
  </conditionalFormatting>
  <pageMargins left="0.7" right="0.7" top="0.75" bottom="0.75" header="0.3" footer="0.3"/>
  <pageSetup paperSize="9"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064B5-D7FC-2D48-8BFE-57DB94209C27}">
  <sheetPr codeName="Sheet8"/>
  <dimension ref="B1:Y53"/>
  <sheetViews>
    <sheetView showGridLines="0" tabSelected="1" zoomScale="90" zoomScaleNormal="90" workbookViewId="0">
      <selection activeCell="G52" sqref="G52"/>
    </sheetView>
  </sheetViews>
  <sheetFormatPr baseColWidth="10" defaultRowHeight="14"/>
  <cols>
    <col min="1" max="2" width="10.83203125" style="2"/>
    <col min="3" max="3" width="10.1640625" style="2" bestFit="1" customWidth="1"/>
    <col min="4" max="4" width="10.1640625" style="2" customWidth="1"/>
    <col min="5" max="5" width="9.5" style="2" customWidth="1"/>
    <col min="6" max="6" width="41.83203125" style="2" customWidth="1"/>
    <col min="7" max="7" width="24" style="2" bestFit="1" customWidth="1"/>
    <col min="8" max="8" width="30" style="2" bestFit="1" customWidth="1"/>
    <col min="9" max="9" width="4.83203125" style="2" bestFit="1" customWidth="1"/>
    <col min="10" max="10" width="38.1640625" style="2" bestFit="1" customWidth="1"/>
    <col min="11" max="11" width="3.83203125" style="2" bestFit="1" customWidth="1"/>
    <col min="12" max="12" width="9.6640625" style="2" bestFit="1" customWidth="1"/>
    <col min="13" max="13" width="8" style="2" bestFit="1" customWidth="1"/>
    <col min="14" max="14" width="6.33203125" style="2" bestFit="1" customWidth="1"/>
    <col min="15" max="15" width="9.6640625" style="2" bestFit="1" customWidth="1"/>
    <col min="16" max="16" width="8.83203125" style="2" bestFit="1" customWidth="1"/>
    <col min="17" max="17" width="3.83203125" style="2" bestFit="1" customWidth="1"/>
    <col min="18" max="18" width="7" style="2" bestFit="1" customWidth="1"/>
    <col min="19" max="20" width="10.83203125" style="2"/>
    <col min="21" max="21" width="30.5" style="2" bestFit="1" customWidth="1"/>
    <col min="22" max="22" width="6" style="2" customWidth="1"/>
    <col min="23" max="23" width="40" style="2" bestFit="1" customWidth="1"/>
    <col min="24" max="24" width="5.6640625" style="2" bestFit="1" customWidth="1"/>
    <col min="25" max="25" width="40" style="2" bestFit="1" customWidth="1"/>
    <col min="26" max="26" width="5.6640625" style="2" bestFit="1" customWidth="1"/>
    <col min="27" max="16384" width="10.83203125" style="2"/>
  </cols>
  <sheetData>
    <row r="1" spans="2:25">
      <c r="E1" s="4"/>
      <c r="F1" s="4"/>
    </row>
    <row r="2" spans="2:25" ht="20" customHeight="1">
      <c r="E2" s="4"/>
      <c r="F2" s="131" t="s">
        <v>133</v>
      </c>
      <c r="G2" s="131" t="s">
        <v>141</v>
      </c>
      <c r="H2" s="130" t="s">
        <v>38</v>
      </c>
      <c r="I2" s="4"/>
      <c r="J2" s="130" t="s">
        <v>70</v>
      </c>
      <c r="K2" s="4"/>
      <c r="L2" s="130" t="s">
        <v>64</v>
      </c>
      <c r="M2" s="130"/>
      <c r="N2" s="130"/>
      <c r="O2" s="130"/>
      <c r="P2" s="130"/>
      <c r="Q2" s="4"/>
      <c r="R2" s="130" t="s">
        <v>91</v>
      </c>
      <c r="T2" s="131" t="s">
        <v>30</v>
      </c>
      <c r="U2" s="130" t="s">
        <v>38</v>
      </c>
      <c r="V2" s="1"/>
      <c r="W2" s="4"/>
    </row>
    <row r="3" spans="2:25" ht="15">
      <c r="E3" s="4"/>
      <c r="F3" s="132"/>
      <c r="G3" s="132"/>
      <c r="H3" s="130"/>
      <c r="I3" s="4"/>
      <c r="J3" s="130"/>
      <c r="K3" s="4"/>
      <c r="L3" s="10" t="s">
        <v>102</v>
      </c>
      <c r="M3" s="10" t="s">
        <v>66</v>
      </c>
      <c r="N3" s="10" t="s">
        <v>68</v>
      </c>
      <c r="O3" s="10" t="s">
        <v>69</v>
      </c>
      <c r="P3" s="10" t="s">
        <v>57</v>
      </c>
      <c r="R3" s="130"/>
      <c r="T3" s="132"/>
      <c r="U3" s="130"/>
      <c r="V3" s="1"/>
      <c r="W3" s="4"/>
    </row>
    <row r="4" spans="2:25">
      <c r="C4" s="4"/>
      <c r="D4" s="4"/>
      <c r="E4" s="4"/>
      <c r="F4" s="3">
        <v>2.5000000000000001E-2</v>
      </c>
      <c r="G4" s="25">
        <v>2.5000000000000001E-2</v>
      </c>
      <c r="H4" s="25">
        <v>1.1129575553495634E-2</v>
      </c>
      <c r="I4" s="16" t="s">
        <v>0</v>
      </c>
      <c r="J4" s="82">
        <v>44.518302213982537</v>
      </c>
      <c r="K4" s="16" t="s">
        <v>11</v>
      </c>
      <c r="L4" s="28">
        <v>3.3212585444166519E-2</v>
      </c>
      <c r="M4" s="28">
        <v>82.413363385028589</v>
      </c>
      <c r="N4" s="28">
        <v>1.6819053752046655E-2</v>
      </c>
      <c r="O4" s="28">
        <v>17.493538173232732</v>
      </c>
      <c r="P4" s="28">
        <v>4.3066802542482935E-2</v>
      </c>
      <c r="Q4" s="16" t="s">
        <v>11</v>
      </c>
      <c r="R4" s="30">
        <f>SUM(L4:P4)/100</f>
        <v>1.0000000000000002</v>
      </c>
      <c r="T4" s="26">
        <f t="shared" ref="T4:U9" si="0">G4*100</f>
        <v>2.5</v>
      </c>
      <c r="U4" s="26">
        <f t="shared" si="0"/>
        <v>1.1129575553495634</v>
      </c>
      <c r="V4" s="16" t="s">
        <v>90</v>
      </c>
    </row>
    <row r="5" spans="2:25">
      <c r="C5" s="4"/>
      <c r="D5" s="4"/>
      <c r="E5" s="4"/>
      <c r="F5" s="3">
        <f>F4*2</f>
        <v>0.05</v>
      </c>
      <c r="G5" s="25">
        <v>0.05</v>
      </c>
      <c r="H5" s="25">
        <v>1.1137924885317179E-2</v>
      </c>
      <c r="I5" s="16" t="s">
        <v>0</v>
      </c>
      <c r="J5" s="82">
        <v>22.275849770634355</v>
      </c>
      <c r="K5" s="16" t="s">
        <v>11</v>
      </c>
      <c r="L5" s="28">
        <v>0.1326512390087955</v>
      </c>
      <c r="M5" s="28">
        <v>82.289850501734136</v>
      </c>
      <c r="N5" s="28">
        <v>6.7175388164680952E-2</v>
      </c>
      <c r="O5" s="28">
        <v>17.467320612754069</v>
      </c>
      <c r="P5" s="28">
        <v>4.3002258338268838E-2</v>
      </c>
      <c r="Q5" s="16" t="s">
        <v>11</v>
      </c>
      <c r="R5" s="30">
        <f t="shared" ref="R5:R9" si="1">SUM(L5:P5)/100</f>
        <v>0.99999999999999944</v>
      </c>
      <c r="T5" s="26">
        <f t="shared" si="0"/>
        <v>5</v>
      </c>
      <c r="U5" s="26">
        <f t="shared" si="0"/>
        <v>1.1137924885317179</v>
      </c>
      <c r="V5" s="16" t="s">
        <v>90</v>
      </c>
    </row>
    <row r="6" spans="2:25" ht="15" customHeight="1">
      <c r="B6" s="133" t="s">
        <v>92</v>
      </c>
      <c r="C6" s="133"/>
      <c r="D6" s="133"/>
      <c r="E6" s="4"/>
      <c r="F6" s="3">
        <f>F5+0.025</f>
        <v>7.5000000000000011E-2</v>
      </c>
      <c r="G6" s="25">
        <v>7.5000000000000011E-2</v>
      </c>
      <c r="H6" s="25">
        <v>1.1151826546996729E-2</v>
      </c>
      <c r="I6" s="16" t="s">
        <v>0</v>
      </c>
      <c r="J6" s="82">
        <v>14.869102062662304</v>
      </c>
      <c r="K6" s="16" t="s">
        <v>11</v>
      </c>
      <c r="L6" s="28">
        <v>0.29772162890802395</v>
      </c>
      <c r="M6" s="28">
        <v>82.084816351812478</v>
      </c>
      <c r="N6" s="28">
        <v>0.15076803003394137</v>
      </c>
      <c r="O6" s="28">
        <v>17.42379887573049</v>
      </c>
      <c r="P6" s="28">
        <v>4.2895113515069604E-2</v>
      </c>
      <c r="Q6" s="16" t="s">
        <v>11</v>
      </c>
      <c r="R6" s="30">
        <f t="shared" si="1"/>
        <v>1</v>
      </c>
      <c r="T6" s="26">
        <f t="shared" si="0"/>
        <v>7.5000000000000009</v>
      </c>
      <c r="U6" s="26">
        <f t="shared" si="0"/>
        <v>1.115182654699673</v>
      </c>
      <c r="V6" s="16" t="s">
        <v>90</v>
      </c>
    </row>
    <row r="7" spans="2:25">
      <c r="B7" s="133"/>
      <c r="C7" s="133"/>
      <c r="D7" s="133"/>
      <c r="E7" s="4"/>
      <c r="F7" s="3">
        <f>F6+0.025</f>
        <v>0.1</v>
      </c>
      <c r="G7" s="25">
        <v>0.1</v>
      </c>
      <c r="H7" s="25">
        <v>1.1171259810378044E-2</v>
      </c>
      <c r="I7" s="16" t="s">
        <v>0</v>
      </c>
      <c r="J7" s="82">
        <v>11.171259810378043</v>
      </c>
      <c r="K7" s="16" t="s">
        <v>11</v>
      </c>
      <c r="L7" s="28">
        <v>0.52744304111720475</v>
      </c>
      <c r="M7" s="28">
        <v>81.799479081452347</v>
      </c>
      <c r="N7" s="28">
        <v>0.26710033985780363</v>
      </c>
      <c r="O7" s="28">
        <v>17.363231532932328</v>
      </c>
      <c r="P7" s="28">
        <v>4.2746004640296473E-2</v>
      </c>
      <c r="Q7" s="16" t="s">
        <v>11</v>
      </c>
      <c r="R7" s="30">
        <f t="shared" si="1"/>
        <v>0.99999999999999989</v>
      </c>
      <c r="T7" s="26">
        <f t="shared" si="0"/>
        <v>10</v>
      </c>
      <c r="U7" s="26">
        <f t="shared" si="0"/>
        <v>1.1171259810378042</v>
      </c>
      <c r="V7" s="16" t="s">
        <v>90</v>
      </c>
    </row>
    <row r="8" spans="2:25">
      <c r="B8" s="133"/>
      <c r="C8" s="133"/>
      <c r="D8" s="133"/>
      <c r="E8" s="4"/>
      <c r="F8" s="3">
        <f>F7+0.05</f>
        <v>0.15000000000000002</v>
      </c>
      <c r="G8" s="25">
        <v>0.15000000000000002</v>
      </c>
      <c r="H8" s="25">
        <v>1.0310627401745945E-2</v>
      </c>
      <c r="I8" s="16" t="s">
        <v>0</v>
      </c>
      <c r="J8" s="82">
        <v>6.8737516011639617</v>
      </c>
      <c r="K8" s="16" t="s">
        <v>11</v>
      </c>
      <c r="L8" s="28">
        <v>1.3931317938491001</v>
      </c>
      <c r="M8" s="28">
        <v>96.025075396271006</v>
      </c>
      <c r="N8" s="28">
        <v>0.70549034985015457</v>
      </c>
      <c r="O8" s="28">
        <v>1.8261225766787994</v>
      </c>
      <c r="P8" s="28">
        <v>5.0179883350926359E-2</v>
      </c>
      <c r="Q8" s="16" t="s">
        <v>11</v>
      </c>
      <c r="R8" s="30">
        <f t="shared" si="1"/>
        <v>0.99999999999999967</v>
      </c>
      <c r="T8" s="26">
        <f t="shared" si="0"/>
        <v>15.000000000000002</v>
      </c>
      <c r="U8" s="26">
        <f t="shared" si="0"/>
        <v>1.0310627401745944</v>
      </c>
      <c r="V8" s="16" t="s">
        <v>90</v>
      </c>
    </row>
    <row r="9" spans="2:25">
      <c r="B9" s="133"/>
      <c r="C9" s="133"/>
      <c r="D9" s="133"/>
      <c r="E9" s="4"/>
      <c r="F9" s="3">
        <f>F8+0.05</f>
        <v>0.2</v>
      </c>
      <c r="G9" s="25">
        <v>0.2</v>
      </c>
      <c r="H9" s="25">
        <v>1.0394435005535461E-2</v>
      </c>
      <c r="I9" s="16" t="s">
        <v>0</v>
      </c>
      <c r="J9" s="26">
        <v>5.1972175027677308</v>
      </c>
      <c r="K9" s="16" t="s">
        <v>11</v>
      </c>
      <c r="L9" s="28">
        <v>2.436902125358253</v>
      </c>
      <c r="M9" s="28">
        <v>94.48286776357989</v>
      </c>
      <c r="N9" s="28">
        <v>1.2340619462998195</v>
      </c>
      <c r="O9" s="28">
        <v>1.7967941938125362</v>
      </c>
      <c r="P9" s="28">
        <v>4.9373970949483405E-2</v>
      </c>
      <c r="Q9" s="16" t="s">
        <v>11</v>
      </c>
      <c r="R9" s="30">
        <f t="shared" si="1"/>
        <v>0.99999999999999989</v>
      </c>
      <c r="T9" s="26">
        <f t="shared" si="0"/>
        <v>20</v>
      </c>
      <c r="U9" s="26">
        <f t="shared" si="0"/>
        <v>1.0394435005535461</v>
      </c>
      <c r="V9" s="16" t="s">
        <v>90</v>
      </c>
    </row>
    <row r="10" spans="2:25" s="4" customFormat="1">
      <c r="X10" s="1"/>
      <c r="Y10" s="1"/>
    </row>
    <row r="11" spans="2:25" s="4" customFormat="1">
      <c r="X11" s="1"/>
      <c r="Y11" s="1"/>
    </row>
    <row r="12" spans="2:25" s="4" customFormat="1">
      <c r="X12" s="1"/>
      <c r="Y12" s="1"/>
    </row>
    <row r="13" spans="2:25" s="4" customFormat="1">
      <c r="X13" s="1"/>
      <c r="Y13" s="1"/>
    </row>
    <row r="14" spans="2:25" s="4" customFormat="1">
      <c r="X14" s="1"/>
      <c r="Y14" s="1"/>
    </row>
    <row r="15" spans="2:25" s="4" customFormat="1">
      <c r="X15" s="1"/>
      <c r="Y15" s="1"/>
    </row>
    <row r="16" spans="2:25" s="4" customFormat="1"/>
    <row r="17" spans="21:24" s="4" customFormat="1"/>
    <row r="18" spans="21:24" s="4" customFormat="1">
      <c r="U18" s="134"/>
      <c r="V18" s="134"/>
      <c r="W18" s="134"/>
      <c r="X18" s="134"/>
    </row>
    <row r="19" spans="21:24" s="4" customFormat="1">
      <c r="U19" s="134"/>
      <c r="V19" s="134"/>
      <c r="W19" s="134"/>
      <c r="X19" s="134"/>
    </row>
    <row r="20" spans="21:24" s="4" customFormat="1">
      <c r="U20" s="134"/>
      <c r="V20" s="134"/>
      <c r="W20" s="134"/>
      <c r="X20" s="134"/>
    </row>
    <row r="21" spans="21:24" s="4" customFormat="1">
      <c r="U21" s="134"/>
      <c r="V21" s="134"/>
      <c r="W21" s="134"/>
      <c r="X21" s="134"/>
    </row>
    <row r="22" spans="21:24" s="4" customFormat="1">
      <c r="U22" s="134"/>
      <c r="V22" s="134"/>
      <c r="W22" s="134"/>
      <c r="X22" s="134"/>
    </row>
    <row r="23" spans="21:24" s="4" customFormat="1">
      <c r="U23" s="134"/>
      <c r="V23" s="134"/>
      <c r="W23" s="134"/>
      <c r="X23" s="134"/>
    </row>
    <row r="24" spans="21:24" s="4" customFormat="1">
      <c r="U24" s="134"/>
      <c r="V24" s="134"/>
      <c r="W24" s="134"/>
      <c r="X24" s="134"/>
    </row>
    <row r="25" spans="21:24" s="4" customFormat="1">
      <c r="U25" s="134"/>
      <c r="V25" s="134"/>
      <c r="W25" s="134"/>
      <c r="X25" s="134"/>
    </row>
    <row r="26" spans="21:24" s="4" customFormat="1">
      <c r="U26" s="134"/>
      <c r="V26" s="134"/>
      <c r="W26" s="134"/>
      <c r="X26" s="134"/>
    </row>
    <row r="27" spans="21:24" s="4" customFormat="1">
      <c r="U27" s="134"/>
      <c r="V27" s="134"/>
      <c r="W27" s="134"/>
      <c r="X27" s="134"/>
    </row>
    <row r="28" spans="21:24" s="4" customFormat="1">
      <c r="U28" s="134"/>
      <c r="V28" s="134"/>
      <c r="W28" s="134"/>
      <c r="X28" s="134"/>
    </row>
    <row r="29" spans="21:24" s="4" customFormat="1">
      <c r="U29" s="134"/>
      <c r="V29" s="134"/>
      <c r="W29" s="134"/>
      <c r="X29" s="134"/>
    </row>
    <row r="30" spans="21:24" s="4" customFormat="1">
      <c r="U30" s="134"/>
      <c r="V30" s="134"/>
      <c r="W30" s="134"/>
      <c r="X30" s="134"/>
    </row>
    <row r="31" spans="21:24" s="4" customFormat="1">
      <c r="U31" s="134"/>
      <c r="V31" s="134"/>
      <c r="W31" s="134"/>
      <c r="X31" s="134"/>
    </row>
    <row r="32" spans="21:24" s="4" customFormat="1">
      <c r="U32" s="134"/>
      <c r="V32" s="134"/>
      <c r="W32" s="134"/>
      <c r="X32" s="134"/>
    </row>
    <row r="33" spans="7:24" s="4" customFormat="1">
      <c r="U33" s="134"/>
      <c r="V33" s="134"/>
      <c r="W33" s="134"/>
      <c r="X33" s="134"/>
    </row>
    <row r="34" spans="7:24" s="4" customFormat="1">
      <c r="U34" s="134"/>
      <c r="V34" s="134"/>
      <c r="W34" s="134"/>
      <c r="X34" s="134"/>
    </row>
    <row r="35" spans="7:24" s="4" customFormat="1">
      <c r="U35" s="134"/>
      <c r="V35" s="134"/>
      <c r="W35" s="134"/>
      <c r="X35" s="134"/>
    </row>
    <row r="36" spans="7:24" s="4" customFormat="1">
      <c r="U36" s="134"/>
      <c r="V36" s="134"/>
      <c r="W36" s="134"/>
      <c r="X36" s="134"/>
    </row>
    <row r="37" spans="7:24" s="4" customFormat="1">
      <c r="U37" s="134"/>
      <c r="V37" s="134"/>
      <c r="W37" s="134"/>
      <c r="X37" s="134"/>
    </row>
    <row r="38" spans="7:24" s="4" customFormat="1" ht="15">
      <c r="H38" s="81"/>
      <c r="U38" s="134"/>
      <c r="V38" s="134"/>
      <c r="W38" s="134"/>
      <c r="X38" s="134"/>
    </row>
    <row r="39" spans="7:24" s="4" customFormat="1" ht="15">
      <c r="H39" s="81"/>
      <c r="U39" s="134"/>
      <c r="V39" s="134"/>
      <c r="W39" s="134"/>
      <c r="X39" s="134"/>
    </row>
    <row r="40" spans="7:24" s="4" customFormat="1" ht="15">
      <c r="H40" s="81"/>
      <c r="U40" s="134"/>
      <c r="V40" s="134"/>
      <c r="W40" s="134"/>
      <c r="X40" s="134"/>
    </row>
    <row r="41" spans="7:24">
      <c r="G41" s="4"/>
      <c r="U41" s="134"/>
      <c r="V41" s="134"/>
      <c r="W41" s="134"/>
      <c r="X41" s="134"/>
    </row>
    <row r="42" spans="7:24">
      <c r="U42" s="134"/>
      <c r="V42" s="134"/>
      <c r="W42" s="134"/>
      <c r="X42" s="134"/>
    </row>
    <row r="43" spans="7:24">
      <c r="U43" s="134"/>
      <c r="V43" s="134"/>
      <c r="W43" s="134"/>
      <c r="X43" s="134"/>
    </row>
    <row r="44" spans="7:24">
      <c r="U44" s="134"/>
      <c r="V44" s="134"/>
      <c r="W44" s="134"/>
      <c r="X44" s="134"/>
    </row>
    <row r="45" spans="7:24">
      <c r="U45" s="134"/>
      <c r="V45" s="134"/>
      <c r="W45" s="134"/>
      <c r="X45" s="134"/>
    </row>
    <row r="46" spans="7:24">
      <c r="U46" s="134"/>
      <c r="V46" s="134"/>
      <c r="W46" s="134"/>
      <c r="X46" s="134"/>
    </row>
    <row r="48" spans="7:24" ht="15">
      <c r="N48" s="5"/>
      <c r="O48" s="5"/>
      <c r="P48" s="5"/>
      <c r="Q48" s="5"/>
      <c r="R48" s="5"/>
      <c r="S48" s="5"/>
      <c r="T48" s="5"/>
      <c r="U48" s="10" t="s">
        <v>65</v>
      </c>
      <c r="V48" s="128" t="s">
        <v>84</v>
      </c>
      <c r="W48" s="129"/>
    </row>
    <row r="49" spans="21:23" ht="15">
      <c r="U49" s="10" t="s">
        <v>66</v>
      </c>
      <c r="V49" s="128" t="s">
        <v>85</v>
      </c>
      <c r="W49" s="129" t="s">
        <v>85</v>
      </c>
    </row>
    <row r="50" spans="21:23" ht="15">
      <c r="U50" s="10" t="s">
        <v>67</v>
      </c>
      <c r="V50" s="128" t="s">
        <v>86</v>
      </c>
      <c r="W50" s="129" t="s">
        <v>86</v>
      </c>
    </row>
    <row r="51" spans="21:23" ht="15">
      <c r="U51" s="10" t="s">
        <v>68</v>
      </c>
      <c r="V51" s="128" t="s">
        <v>87</v>
      </c>
      <c r="W51" s="129" t="s">
        <v>87</v>
      </c>
    </row>
    <row r="52" spans="21:23" ht="15">
      <c r="U52" s="10" t="s">
        <v>69</v>
      </c>
      <c r="V52" s="128" t="s">
        <v>88</v>
      </c>
      <c r="W52" s="129" t="s">
        <v>88</v>
      </c>
    </row>
    <row r="53" spans="21:23" ht="15">
      <c r="U53" s="10" t="s">
        <v>57</v>
      </c>
      <c r="V53" s="128" t="s">
        <v>89</v>
      </c>
      <c r="W53" s="129" t="s">
        <v>89</v>
      </c>
    </row>
  </sheetData>
  <sheetProtection formatCells="0" formatColumns="0" formatRows="0" insertColumns="0" insertRows="0" deleteColumns="0" deleteRows="0"/>
  <mergeCells count="15">
    <mergeCell ref="V50:W50"/>
    <mergeCell ref="V51:W51"/>
    <mergeCell ref="V52:W52"/>
    <mergeCell ref="V53:W53"/>
    <mergeCell ref="T2:T3"/>
    <mergeCell ref="U2:U3"/>
    <mergeCell ref="B6:D9"/>
    <mergeCell ref="V48:W48"/>
    <mergeCell ref="V49:W49"/>
    <mergeCell ref="F2:F3"/>
    <mergeCell ref="G2:G3"/>
    <mergeCell ref="H2:H3"/>
    <mergeCell ref="J2:J3"/>
    <mergeCell ref="L2:P2"/>
    <mergeCell ref="R2:R3"/>
  </mergeCell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Analysis_1.Analysis_1">
                <anchor moveWithCells="1" sizeWithCells="1">
                  <from>
                    <xdr:col>0</xdr:col>
                    <xdr:colOff>812800</xdr:colOff>
                    <xdr:row>1</xdr:row>
                    <xdr:rowOff>0</xdr:rowOff>
                  </from>
                  <to>
                    <xdr:col>4</xdr:col>
                    <xdr:colOff>0</xdr:colOff>
                    <xdr:row>3</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E7096-1E4E-6F4D-A601-79566FC0B4DD}">
  <sheetPr codeName="Sheet11"/>
  <dimension ref="A2:Y126"/>
  <sheetViews>
    <sheetView showGridLines="0" topLeftCell="B1" zoomScale="60" zoomScaleNormal="60" workbookViewId="0">
      <selection activeCell="L26" sqref="L26"/>
    </sheetView>
  </sheetViews>
  <sheetFormatPr baseColWidth="10" defaultRowHeight="14"/>
  <cols>
    <col min="1" max="1" width="16.1640625" style="5" bestFit="1" customWidth="1"/>
    <col min="2" max="2" width="16.1640625" style="5" customWidth="1"/>
    <col min="3" max="3" width="12.6640625" style="5" bestFit="1" customWidth="1"/>
    <col min="4" max="4" width="3.5" style="5" bestFit="1" customWidth="1"/>
    <col min="5" max="5" width="49.33203125" style="5" bestFit="1" customWidth="1"/>
    <col min="6" max="6" width="26.6640625" style="5" bestFit="1" customWidth="1"/>
    <col min="7" max="7" width="10" style="5" customWidth="1"/>
    <col min="8" max="8" width="39.33203125" style="5" bestFit="1" customWidth="1"/>
    <col min="9" max="9" width="8" style="5" bestFit="1" customWidth="1"/>
    <col min="10" max="10" width="12.6640625" style="5" bestFit="1" customWidth="1"/>
    <col min="11" max="11" width="31" style="5" bestFit="1" customWidth="1"/>
    <col min="12" max="12" width="20.5" style="5" bestFit="1" customWidth="1"/>
    <col min="13" max="13" width="13.1640625" style="5" bestFit="1" customWidth="1"/>
    <col min="14" max="14" width="21.5" style="5" customWidth="1"/>
    <col min="15" max="15" width="35.6640625" style="5" customWidth="1"/>
    <col min="16" max="16" width="25.1640625" style="5" customWidth="1"/>
    <col min="17" max="17" width="23.33203125" style="5" bestFit="1" customWidth="1"/>
    <col min="18" max="18" width="26.6640625" style="5" customWidth="1"/>
    <col min="19" max="20" width="21.5" style="5" bestFit="1" customWidth="1"/>
    <col min="21" max="21" width="29.5" style="5" customWidth="1"/>
    <col min="22" max="22" width="44.83203125" style="5" customWidth="1"/>
    <col min="23" max="23" width="28.1640625" style="60" customWidth="1"/>
    <col min="24" max="24" width="24.1640625" style="5" customWidth="1"/>
    <col min="25" max="25" width="20.6640625" style="5" customWidth="1"/>
    <col min="26" max="16384" width="10.83203125" style="5"/>
  </cols>
  <sheetData>
    <row r="2" spans="3:25" ht="14" customHeight="1">
      <c r="D2" s="114" t="s">
        <v>3</v>
      </c>
      <c r="E2" s="114"/>
      <c r="F2" s="114"/>
      <c r="G2" s="114"/>
      <c r="H2" s="114"/>
      <c r="I2" s="114"/>
      <c r="J2" s="114"/>
      <c r="K2" s="114"/>
      <c r="L2" s="114"/>
      <c r="M2" s="114"/>
      <c r="N2" s="114"/>
      <c r="O2" s="114"/>
      <c r="P2" s="114"/>
      <c r="Q2" s="114"/>
      <c r="R2" s="114"/>
      <c r="S2" s="114"/>
      <c r="T2" s="114"/>
      <c r="U2" s="114"/>
      <c r="V2" s="114"/>
      <c r="W2" s="114"/>
      <c r="X2" s="114"/>
      <c r="Y2" s="114"/>
    </row>
    <row r="3" spans="3:25" ht="14" customHeight="1">
      <c r="D3" s="114"/>
      <c r="E3" s="114"/>
      <c r="F3" s="114"/>
      <c r="G3" s="114"/>
      <c r="H3" s="114"/>
      <c r="I3" s="114"/>
      <c r="J3" s="114"/>
      <c r="K3" s="114"/>
      <c r="L3" s="114"/>
      <c r="M3" s="114"/>
      <c r="N3" s="114"/>
      <c r="O3" s="114"/>
      <c r="P3" s="114"/>
      <c r="Q3" s="114"/>
      <c r="R3" s="114"/>
      <c r="S3" s="114"/>
      <c r="T3" s="114"/>
      <c r="U3" s="114"/>
      <c r="V3" s="114"/>
      <c r="W3" s="114"/>
      <c r="X3" s="114"/>
      <c r="Y3" s="114"/>
    </row>
    <row r="4" spans="3:25" ht="14" customHeight="1">
      <c r="D4" s="114"/>
      <c r="E4" s="114"/>
      <c r="F4" s="114"/>
      <c r="G4" s="114"/>
      <c r="H4" s="114"/>
      <c r="I4" s="114"/>
      <c r="J4" s="114"/>
      <c r="K4" s="114"/>
      <c r="L4" s="114"/>
      <c r="M4" s="114"/>
      <c r="N4" s="114"/>
      <c r="O4" s="114"/>
      <c r="P4" s="114"/>
      <c r="Q4" s="114"/>
      <c r="R4" s="114"/>
      <c r="S4" s="114"/>
      <c r="T4" s="114"/>
      <c r="U4" s="114"/>
      <c r="V4" s="114"/>
      <c r="W4" s="114"/>
      <c r="X4" s="114"/>
      <c r="Y4" s="114"/>
    </row>
    <row r="5" spans="3:25" ht="14" customHeight="1">
      <c r="D5" s="114"/>
      <c r="E5" s="114"/>
      <c r="F5" s="114"/>
      <c r="G5" s="114"/>
      <c r="H5" s="114"/>
      <c r="I5" s="114"/>
      <c r="J5" s="114"/>
      <c r="K5" s="114"/>
      <c r="L5" s="114"/>
      <c r="M5" s="114"/>
      <c r="N5" s="114"/>
      <c r="O5" s="114"/>
      <c r="P5" s="114"/>
      <c r="Q5" s="114"/>
      <c r="R5" s="114"/>
      <c r="S5" s="114"/>
      <c r="T5" s="114"/>
      <c r="U5" s="114"/>
      <c r="V5" s="114"/>
      <c r="W5" s="114"/>
      <c r="X5" s="114"/>
      <c r="Y5" s="114"/>
    </row>
    <row r="6" spans="3:25" s="12" customFormat="1" ht="50" customHeight="1">
      <c r="E6" s="80"/>
    </row>
    <row r="7" spans="3:25" ht="50" customHeight="1">
      <c r="E7" s="105" t="s">
        <v>44</v>
      </c>
      <c r="F7" s="106"/>
      <c r="G7" s="106"/>
      <c r="H7" s="106"/>
      <c r="I7" s="106"/>
      <c r="J7" s="107"/>
      <c r="K7" s="103" t="s">
        <v>106</v>
      </c>
      <c r="L7" s="103"/>
      <c r="M7" s="103"/>
      <c r="N7" s="103"/>
      <c r="O7" s="103"/>
      <c r="P7" s="103"/>
      <c r="Q7" s="103"/>
      <c r="R7" s="103"/>
      <c r="S7" s="103"/>
      <c r="T7" s="103"/>
      <c r="U7" s="103"/>
      <c r="V7" s="103"/>
      <c r="W7" s="103"/>
      <c r="X7" s="103"/>
      <c r="Y7" s="103"/>
    </row>
    <row r="8" spans="3:25" ht="41" customHeight="1">
      <c r="E8" s="98" t="s">
        <v>5</v>
      </c>
      <c r="F8" s="98"/>
      <c r="G8" s="98"/>
      <c r="H8" s="98" t="s">
        <v>97</v>
      </c>
      <c r="I8" s="98"/>
      <c r="J8" s="98"/>
      <c r="K8" s="112" t="s">
        <v>104</v>
      </c>
      <c r="L8" s="113"/>
      <c r="M8" s="113"/>
      <c r="N8" s="113"/>
      <c r="O8" s="113"/>
      <c r="P8" s="113"/>
      <c r="Q8" s="97"/>
      <c r="R8" s="97" t="s">
        <v>105</v>
      </c>
      <c r="S8" s="98"/>
      <c r="T8" s="98"/>
      <c r="U8" s="98"/>
      <c r="V8" s="98"/>
      <c r="W8" s="98"/>
      <c r="X8" s="98" t="s">
        <v>97</v>
      </c>
      <c r="Y8" s="98"/>
    </row>
    <row r="9" spans="3:25" ht="34" customHeight="1">
      <c r="C9" s="115"/>
      <c r="D9" s="115"/>
      <c r="E9" s="77" t="s">
        <v>138</v>
      </c>
      <c r="F9" s="33">
        <v>2</v>
      </c>
      <c r="G9" s="47" t="s">
        <v>0</v>
      </c>
      <c r="H9" s="77" t="s">
        <v>103</v>
      </c>
      <c r="I9" s="13">
        <v>16</v>
      </c>
      <c r="J9" s="14" t="s">
        <v>62</v>
      </c>
      <c r="K9" s="117" t="s">
        <v>111</v>
      </c>
      <c r="L9" s="118"/>
      <c r="M9" s="79" t="s">
        <v>112</v>
      </c>
      <c r="N9" s="110" t="s">
        <v>116</v>
      </c>
      <c r="O9" s="111"/>
      <c r="P9" s="79" t="s">
        <v>115</v>
      </c>
      <c r="Q9" s="79" t="s">
        <v>117</v>
      </c>
      <c r="R9" s="116" t="s">
        <v>54</v>
      </c>
      <c r="S9" s="117" t="s">
        <v>78</v>
      </c>
      <c r="T9" s="118"/>
      <c r="U9" s="79" t="s">
        <v>79</v>
      </c>
      <c r="V9" s="79" t="s">
        <v>131</v>
      </c>
      <c r="W9" s="79" t="s">
        <v>16</v>
      </c>
      <c r="X9" s="79" t="s">
        <v>59</v>
      </c>
      <c r="Y9" s="79" t="s">
        <v>81</v>
      </c>
    </row>
    <row r="10" spans="3:25" ht="30" customHeight="1">
      <c r="C10" s="115"/>
      <c r="D10" s="115"/>
      <c r="E10" s="77" t="s">
        <v>139</v>
      </c>
      <c r="F10" s="48">
        <v>10</v>
      </c>
      <c r="G10" s="47" t="s">
        <v>45</v>
      </c>
      <c r="H10" s="77" t="s">
        <v>139</v>
      </c>
      <c r="I10" s="48" cm="1">
        <f t="array" ref="I10">IF(F77 &gt; 2, F10,IFERROR(_xlfn.XLOOKUP(F28, I11:I17, I11:I17, MAX(I11:I17), 1),IF(F28 &gt; MAX(I11:I17), MAX(I11:I17), INDEX(I11:I17, MATCH(F28, I11:I17, 1) + 1) )))</f>
        <v>10</v>
      </c>
      <c r="J10" s="14" t="s">
        <v>45</v>
      </c>
      <c r="K10" s="14" t="s">
        <v>14</v>
      </c>
      <c r="L10" s="14" t="s">
        <v>0</v>
      </c>
      <c r="M10" s="14" t="s">
        <v>11</v>
      </c>
      <c r="N10" s="14" t="s">
        <v>113</v>
      </c>
      <c r="O10" s="14" t="s">
        <v>114</v>
      </c>
      <c r="P10" s="14" t="s">
        <v>11</v>
      </c>
      <c r="Q10" s="14" t="s">
        <v>11</v>
      </c>
      <c r="R10" s="116"/>
      <c r="S10" s="14" t="s">
        <v>51</v>
      </c>
      <c r="T10" s="14" t="s">
        <v>52</v>
      </c>
      <c r="U10" s="14" t="s">
        <v>11</v>
      </c>
      <c r="V10" s="14" t="s">
        <v>41</v>
      </c>
      <c r="W10" s="14" t="s">
        <v>118</v>
      </c>
      <c r="X10" s="14" t="s">
        <v>11</v>
      </c>
      <c r="Y10" s="14" t="s">
        <v>11</v>
      </c>
    </row>
    <row r="11" spans="3:25" ht="33" customHeight="1">
      <c r="C11" s="115"/>
      <c r="D11" s="115"/>
      <c r="E11" s="78" t="s">
        <v>140</v>
      </c>
      <c r="F11" s="46">
        <f>(F9)/(F10)</f>
        <v>0.2</v>
      </c>
      <c r="G11" s="14" t="s">
        <v>58</v>
      </c>
      <c r="I11" s="13">
        <v>0.1</v>
      </c>
      <c r="J11" s="14" t="s">
        <v>45</v>
      </c>
      <c r="K11" s="49"/>
      <c r="L11" s="50">
        <v>0</v>
      </c>
      <c r="M11" s="51"/>
      <c r="N11" s="51">
        <v>-80.56</v>
      </c>
      <c r="O11" s="51">
        <v>0.56999999999999995</v>
      </c>
      <c r="P11" s="52">
        <v>0.5</v>
      </c>
      <c r="Q11" s="52">
        <v>0.5</v>
      </c>
      <c r="R11" s="74">
        <v>0</v>
      </c>
      <c r="S11" s="50">
        <v>30</v>
      </c>
      <c r="T11" s="50">
        <v>50</v>
      </c>
      <c r="U11" s="50">
        <v>2</v>
      </c>
      <c r="V11" s="28">
        <f>H76/F73</f>
        <v>0.19334400000000002</v>
      </c>
      <c r="W11" s="51">
        <v>2</v>
      </c>
      <c r="X11" s="13">
        <v>0.1</v>
      </c>
      <c r="Y11" s="41">
        <v>0.1</v>
      </c>
    </row>
    <row r="12" spans="3:25" ht="30" customHeight="1">
      <c r="C12" s="115"/>
      <c r="D12" s="115"/>
      <c r="E12" s="87" t="s">
        <v>136</v>
      </c>
      <c r="F12" s="13">
        <v>0.05</v>
      </c>
      <c r="G12" s="47" t="s">
        <v>0</v>
      </c>
      <c r="I12" s="13">
        <v>0.2</v>
      </c>
      <c r="J12" s="14" t="s">
        <v>45</v>
      </c>
      <c r="K12" s="53" t="s">
        <v>93</v>
      </c>
      <c r="L12" s="13">
        <v>2.5</v>
      </c>
      <c r="M12" s="41">
        <v>0.35</v>
      </c>
      <c r="N12" s="108" t="s">
        <v>110</v>
      </c>
      <c r="O12" s="12"/>
      <c r="P12" s="12"/>
      <c r="Q12" s="71"/>
      <c r="R12" s="74">
        <v>2</v>
      </c>
      <c r="S12" s="50">
        <v>30</v>
      </c>
      <c r="T12" s="50">
        <v>50</v>
      </c>
      <c r="U12" s="50">
        <v>2</v>
      </c>
      <c r="V12" s="34"/>
      <c r="W12" s="34"/>
      <c r="X12" s="54"/>
      <c r="Y12" s="34"/>
    </row>
    <row r="13" spans="3:25" ht="30" customHeight="1">
      <c r="E13" s="88"/>
      <c r="F13" s="13">
        <v>0.1</v>
      </c>
      <c r="G13" s="47" t="s">
        <v>0</v>
      </c>
      <c r="H13" s="12"/>
      <c r="I13" s="13">
        <v>0.5</v>
      </c>
      <c r="J13" s="14" t="s">
        <v>45</v>
      </c>
      <c r="K13" s="53" t="s">
        <v>94</v>
      </c>
      <c r="L13" s="55">
        <v>2.5</v>
      </c>
      <c r="M13" s="56">
        <v>0.35</v>
      </c>
      <c r="N13" s="109"/>
      <c r="O13" s="12"/>
      <c r="P13" s="12"/>
      <c r="Q13" s="71"/>
      <c r="R13" s="75">
        <v>10</v>
      </c>
      <c r="S13" s="13">
        <v>8</v>
      </c>
      <c r="T13" s="13">
        <v>12</v>
      </c>
      <c r="U13" s="13">
        <v>0.6</v>
      </c>
      <c r="V13" s="57"/>
      <c r="W13" s="57"/>
      <c r="X13" s="99" t="s">
        <v>132</v>
      </c>
      <c r="Y13" s="100"/>
    </row>
    <row r="14" spans="3:25" s="12" customFormat="1" ht="39" customHeight="1">
      <c r="C14" s="5"/>
      <c r="D14" s="5"/>
      <c r="E14" s="88"/>
      <c r="F14" s="13">
        <v>0.2</v>
      </c>
      <c r="G14" s="47" t="s">
        <v>0</v>
      </c>
      <c r="H14" s="1"/>
      <c r="I14" s="13">
        <v>1</v>
      </c>
      <c r="J14" s="14" t="s">
        <v>45</v>
      </c>
      <c r="K14" s="73"/>
      <c r="N14" s="1"/>
      <c r="O14" s="1"/>
      <c r="P14" s="1"/>
      <c r="Q14" s="40"/>
      <c r="R14" s="76">
        <v>100</v>
      </c>
      <c r="S14" s="55">
        <v>4</v>
      </c>
      <c r="T14" s="55">
        <v>8</v>
      </c>
      <c r="U14" s="55">
        <v>0.3</v>
      </c>
      <c r="V14" s="58"/>
      <c r="W14" s="59"/>
      <c r="X14" s="101"/>
      <c r="Y14" s="102"/>
    </row>
    <row r="15" spans="3:25" s="12" customFormat="1" ht="39" customHeight="1">
      <c r="E15" s="88"/>
      <c r="F15" s="13">
        <v>0.5</v>
      </c>
      <c r="G15" s="47" t="s">
        <v>0</v>
      </c>
      <c r="H15" s="1"/>
      <c r="I15" s="13">
        <v>2</v>
      </c>
      <c r="J15" s="14" t="s">
        <v>45</v>
      </c>
      <c r="K15" s="39"/>
      <c r="L15" s="1"/>
      <c r="M15" s="1"/>
      <c r="N15" s="1"/>
      <c r="O15" s="1"/>
      <c r="P15" s="1"/>
      <c r="Q15" s="40"/>
      <c r="Y15" s="71"/>
    </row>
    <row r="16" spans="3:25" s="12" customFormat="1" ht="39" customHeight="1">
      <c r="E16" s="88"/>
      <c r="F16" s="13">
        <v>1</v>
      </c>
      <c r="G16" s="47" t="s">
        <v>0</v>
      </c>
      <c r="H16" s="1"/>
      <c r="I16" s="13">
        <v>5</v>
      </c>
      <c r="J16" s="14" t="s">
        <v>45</v>
      </c>
      <c r="K16" s="39"/>
      <c r="L16" s="1"/>
      <c r="M16" s="1"/>
      <c r="N16" s="1"/>
      <c r="O16" s="1"/>
      <c r="P16" s="1"/>
      <c r="Q16" s="40"/>
      <c r="Y16" s="71"/>
    </row>
    <row r="17" spans="5:25" s="12" customFormat="1" ht="39" customHeight="1">
      <c r="E17" s="88"/>
      <c r="F17" s="13">
        <v>2</v>
      </c>
      <c r="G17" s="47" t="s">
        <v>0</v>
      </c>
      <c r="I17" s="13">
        <v>10</v>
      </c>
      <c r="J17" s="14" t="s">
        <v>45</v>
      </c>
      <c r="K17" s="73"/>
      <c r="Q17" s="71"/>
      <c r="Y17" s="71"/>
    </row>
    <row r="18" spans="5:25" s="12" customFormat="1" ht="39" customHeight="1">
      <c r="E18" s="88"/>
      <c r="F18" s="13">
        <v>5</v>
      </c>
      <c r="G18" s="47" t="s">
        <v>0</v>
      </c>
      <c r="J18" s="71"/>
      <c r="K18" s="73"/>
      <c r="Q18" s="71"/>
      <c r="Y18" s="71"/>
    </row>
    <row r="19" spans="5:25" s="12" customFormat="1" ht="39" customHeight="1">
      <c r="E19" s="88"/>
      <c r="F19" s="13">
        <v>10</v>
      </c>
      <c r="G19" s="47" t="s">
        <v>0</v>
      </c>
      <c r="J19" s="71"/>
      <c r="K19" s="73"/>
      <c r="Q19" s="71"/>
      <c r="Y19" s="71"/>
    </row>
    <row r="20" spans="5:25" s="12" customFormat="1" ht="39" customHeight="1">
      <c r="E20" s="88"/>
      <c r="F20" s="13">
        <v>20</v>
      </c>
      <c r="G20" s="47" t="s">
        <v>0</v>
      </c>
      <c r="J20" s="71"/>
      <c r="K20" s="73"/>
      <c r="Q20" s="71"/>
      <c r="Y20" s="71"/>
    </row>
    <row r="21" spans="5:25" s="12" customFormat="1" ht="39" customHeight="1">
      <c r="E21" s="88"/>
      <c r="F21" s="13">
        <v>50</v>
      </c>
      <c r="G21" s="47" t="s">
        <v>0</v>
      </c>
      <c r="J21" s="71"/>
      <c r="K21" s="73"/>
      <c r="Q21" s="71"/>
      <c r="Y21" s="71"/>
    </row>
    <row r="22" spans="5:25" s="12" customFormat="1" ht="39" customHeight="1">
      <c r="E22" s="88"/>
      <c r="F22" s="13">
        <v>100</v>
      </c>
      <c r="G22" s="47" t="s">
        <v>0</v>
      </c>
      <c r="J22" s="71"/>
      <c r="K22" s="73"/>
      <c r="Q22" s="71"/>
      <c r="Y22" s="71"/>
    </row>
    <row r="23" spans="5:25" s="12" customFormat="1" ht="39" customHeight="1">
      <c r="E23" s="89"/>
      <c r="F23" s="55">
        <v>200</v>
      </c>
      <c r="G23" s="47" t="s">
        <v>0</v>
      </c>
      <c r="H23" s="58"/>
      <c r="I23" s="58"/>
      <c r="J23" s="59"/>
      <c r="K23" s="44"/>
      <c r="L23" s="58"/>
      <c r="M23" s="58"/>
      <c r="N23" s="58"/>
      <c r="O23" s="58"/>
      <c r="P23" s="58"/>
      <c r="Q23" s="59"/>
      <c r="R23" s="58"/>
      <c r="S23" s="58"/>
      <c r="T23" s="58"/>
      <c r="U23" s="58"/>
      <c r="V23" s="58"/>
      <c r="W23" s="58"/>
      <c r="X23" s="58"/>
      <c r="Y23" s="59"/>
    </row>
    <row r="24" spans="5:25" s="1" customFormat="1" ht="39" customHeight="1"/>
    <row r="25" spans="5:25" s="1" customFormat="1" ht="39" customHeight="1"/>
    <row r="26" spans="5:25" s="1" customFormat="1" ht="39" customHeight="1">
      <c r="E26" s="103" t="s">
        <v>107</v>
      </c>
      <c r="F26" s="103"/>
      <c r="G26" s="103"/>
      <c r="H26" s="32" t="s">
        <v>135</v>
      </c>
    </row>
    <row r="27" spans="5:25" s="1" customFormat="1" ht="39" customHeight="1">
      <c r="E27" s="72" t="s">
        <v>133</v>
      </c>
      <c r="F27" s="33">
        <v>0.2</v>
      </c>
      <c r="G27" s="45" t="s">
        <v>0</v>
      </c>
      <c r="H27" s="43" t="str">
        <f>IF(OR( F27 &gt;= L13, F27 &lt; 0), "Out of Calibration Range !!!", "OK")</f>
        <v>OK</v>
      </c>
    </row>
    <row r="28" spans="5:25" s="1" customFormat="1" ht="40" customHeight="1">
      <c r="E28" s="72" t="s">
        <v>134</v>
      </c>
      <c r="F28" s="46">
        <f>F27/F11</f>
        <v>1</v>
      </c>
      <c r="G28" s="45" t="s">
        <v>45</v>
      </c>
      <c r="H28" s="12"/>
    </row>
    <row r="29" spans="5:25" s="1" customFormat="1" ht="40" customHeight="1"/>
    <row r="30" spans="5:25" s="12" customFormat="1" ht="40" customHeight="1">
      <c r="E30" s="103" t="s">
        <v>109</v>
      </c>
      <c r="F30" s="103"/>
      <c r="G30" s="103"/>
      <c r="H30" s="103"/>
      <c r="I30" s="103"/>
      <c r="J30" s="103"/>
      <c r="K30" s="103"/>
      <c r="L30" s="103"/>
      <c r="M30" s="103"/>
      <c r="N30" s="103"/>
      <c r="O30" s="103"/>
      <c r="P30" s="103"/>
      <c r="Q30" s="103"/>
      <c r="R30" s="103"/>
      <c r="S30" s="103"/>
      <c r="T30" s="103"/>
    </row>
    <row r="31" spans="5:25" s="60" customFormat="1" ht="25" customHeight="1">
      <c r="E31" s="119" t="s">
        <v>39</v>
      </c>
      <c r="F31" s="121" t="s">
        <v>40</v>
      </c>
      <c r="G31" s="121"/>
      <c r="H31" s="121" t="s">
        <v>137</v>
      </c>
      <c r="I31" s="121"/>
      <c r="J31" s="121" t="s">
        <v>37</v>
      </c>
      <c r="K31" s="121"/>
      <c r="L31" s="122" t="s">
        <v>38</v>
      </c>
      <c r="M31" s="123"/>
      <c r="N31" s="119" t="s">
        <v>70</v>
      </c>
      <c r="O31" s="123"/>
      <c r="P31" s="121" t="s">
        <v>64</v>
      </c>
      <c r="Q31" s="121"/>
      <c r="R31" s="121"/>
      <c r="S31" s="121"/>
      <c r="T31" s="121"/>
    </row>
    <row r="32" spans="5:25" s="60" customFormat="1" ht="25" customHeight="1">
      <c r="E32" s="120"/>
      <c r="F32" s="121"/>
      <c r="G32" s="121"/>
      <c r="H32" s="121"/>
      <c r="I32" s="121"/>
      <c r="J32" s="121"/>
      <c r="K32" s="121"/>
      <c r="L32" s="124"/>
      <c r="M32" s="125"/>
      <c r="N32" s="126"/>
      <c r="O32" s="127"/>
      <c r="P32" s="24" t="s">
        <v>102</v>
      </c>
      <c r="Q32" s="24" t="s">
        <v>66</v>
      </c>
      <c r="R32" s="24" t="s">
        <v>68</v>
      </c>
      <c r="S32" s="24" t="s">
        <v>69</v>
      </c>
      <c r="T32" s="24" t="s">
        <v>57</v>
      </c>
      <c r="U32" s="32" t="s">
        <v>91</v>
      </c>
    </row>
    <row r="33" spans="4:23" ht="63" customHeight="1">
      <c r="D33" s="12"/>
      <c r="E33" s="61" t="s">
        <v>108</v>
      </c>
      <c r="F33" s="22">
        <f>F9</f>
        <v>2</v>
      </c>
      <c r="G33" s="6" t="s">
        <v>0</v>
      </c>
      <c r="H33" s="11">
        <f>ABS(F85/(F73*F63))</f>
        <v>0.2</v>
      </c>
      <c r="I33" s="6" t="s">
        <v>0</v>
      </c>
      <c r="J33" s="23">
        <f>SQRT((R63)^2+(R66)^2+(R67)^2+(R73)^2+(R85)^2)</f>
        <v>8.7395295701499214E-3</v>
      </c>
      <c r="K33" s="6" t="s">
        <v>0</v>
      </c>
      <c r="L33" s="11">
        <f>J33*2</f>
        <v>1.7479059140299843E-2</v>
      </c>
      <c r="M33" s="7" t="s">
        <v>0</v>
      </c>
      <c r="N33" s="9">
        <f>ABS((L33/H33)*100)</f>
        <v>8.7395295701499212</v>
      </c>
      <c r="O33" s="9" t="s">
        <v>11</v>
      </c>
      <c r="P33" s="21">
        <f>T63</f>
        <v>0.86179458154874689</v>
      </c>
      <c r="Q33" s="21">
        <f>T66</f>
        <v>33.413251455829204</v>
      </c>
      <c r="R33" s="21">
        <f>T67</f>
        <v>0.43641797819858558</v>
      </c>
      <c r="S33" s="21">
        <f>T73</f>
        <v>63.542457625714036</v>
      </c>
      <c r="T33" s="21">
        <f>T85</f>
        <v>1.7460783587094069</v>
      </c>
      <c r="U33" s="31">
        <f>SUM(P33:T33)/100</f>
        <v>0.99999999999999989</v>
      </c>
      <c r="W33" s="5"/>
    </row>
    <row r="34" spans="4:23" ht="50" customHeight="1">
      <c r="U34" s="12"/>
    </row>
    <row r="35" spans="4:23" ht="50" customHeight="1">
      <c r="K35" s="12"/>
    </row>
    <row r="36" spans="4:23" ht="50" customHeight="1">
      <c r="K36" s="12"/>
    </row>
    <row r="37" spans="4:23" ht="50" customHeight="1">
      <c r="K37" s="12"/>
      <c r="N37" s="62"/>
    </row>
    <row r="38" spans="4:23" ht="50" customHeight="1">
      <c r="K38" s="12"/>
    </row>
    <row r="39" spans="4:23">
      <c r="K39" s="12"/>
    </row>
    <row r="40" spans="4:23">
      <c r="K40" s="12"/>
    </row>
    <row r="41" spans="4:23">
      <c r="K41" s="12"/>
    </row>
    <row r="42" spans="4:23">
      <c r="K42" s="12"/>
    </row>
    <row r="43" spans="4:23">
      <c r="K43" s="12"/>
    </row>
    <row r="44" spans="4:23">
      <c r="K44" s="12"/>
    </row>
    <row r="45" spans="4:23">
      <c r="K45" s="12"/>
    </row>
    <row r="46" spans="4:23">
      <c r="K46" s="12"/>
    </row>
    <row r="47" spans="4:23">
      <c r="K47" s="12"/>
    </row>
    <row r="48" spans="4:23">
      <c r="K48" s="12"/>
    </row>
    <row r="49" spans="3:25">
      <c r="K49" s="12"/>
    </row>
    <row r="50" spans="3:25">
      <c r="K50" s="12"/>
    </row>
    <row r="51" spans="3:25">
      <c r="K51" s="12"/>
    </row>
    <row r="52" spans="3:25">
      <c r="K52" s="12"/>
    </row>
    <row r="53" spans="3:25">
      <c r="K53" s="12"/>
    </row>
    <row r="54" spans="3:25">
      <c r="K54" s="12"/>
      <c r="M54" s="12"/>
    </row>
    <row r="55" spans="3:25">
      <c r="K55" s="12"/>
    </row>
    <row r="56" spans="3:25">
      <c r="K56" s="12"/>
    </row>
    <row r="57" spans="3:25">
      <c r="K57" s="12"/>
    </row>
    <row r="58" spans="3:25">
      <c r="K58" s="12"/>
    </row>
    <row r="59" spans="3:25">
      <c r="K59" s="12"/>
    </row>
    <row r="60" spans="3:25" s="63" customFormat="1" ht="71" customHeight="1">
      <c r="C60" s="36" t="s">
        <v>119</v>
      </c>
      <c r="D60" s="37" t="s">
        <v>120</v>
      </c>
      <c r="E60" s="37" t="s">
        <v>121</v>
      </c>
      <c r="F60" s="95" t="s">
        <v>122</v>
      </c>
      <c r="G60" s="96"/>
      <c r="H60" s="95" t="s">
        <v>123</v>
      </c>
      <c r="I60" s="104"/>
      <c r="J60" s="104"/>
      <c r="K60" s="96"/>
      <c r="L60" s="37" t="s">
        <v>124</v>
      </c>
      <c r="M60" s="37" t="s">
        <v>125</v>
      </c>
      <c r="N60" s="95" t="s">
        <v>126</v>
      </c>
      <c r="O60" s="96"/>
      <c r="P60" s="95" t="s">
        <v>127</v>
      </c>
      <c r="Q60" s="96"/>
      <c r="R60" s="95" t="s">
        <v>128</v>
      </c>
      <c r="S60" s="96"/>
      <c r="T60" s="95" t="s">
        <v>129</v>
      </c>
      <c r="U60" s="96"/>
      <c r="V60" s="36" t="s">
        <v>130</v>
      </c>
      <c r="W60" s="90" t="s">
        <v>1</v>
      </c>
      <c r="X60" s="90"/>
      <c r="Y60" s="90"/>
    </row>
    <row r="61" spans="3:25">
      <c r="K61" s="12"/>
    </row>
    <row r="62" spans="3:25" ht="25" customHeight="1">
      <c r="D62" s="85" t="s">
        <v>4</v>
      </c>
      <c r="E62" s="85"/>
      <c r="F62" s="85"/>
      <c r="G62" s="85"/>
      <c r="H62" s="85"/>
      <c r="I62" s="85"/>
      <c r="J62" s="85"/>
      <c r="K62" s="85"/>
      <c r="L62" s="85"/>
      <c r="M62" s="85"/>
      <c r="N62" s="85"/>
      <c r="O62" s="85"/>
      <c r="P62" s="85"/>
      <c r="Q62" s="85"/>
      <c r="R62" s="85"/>
      <c r="S62" s="85"/>
      <c r="T62" s="85"/>
      <c r="U62" s="85"/>
      <c r="V62" s="85"/>
      <c r="W62" s="85"/>
      <c r="X62" s="85"/>
      <c r="Y62" s="85"/>
    </row>
    <row r="63" spans="3:25" ht="25" customHeight="1">
      <c r="C63" s="17" t="s">
        <v>74</v>
      </c>
      <c r="D63" s="8">
        <v>1</v>
      </c>
      <c r="E63" s="35" t="s">
        <v>101</v>
      </c>
      <c r="F63" s="28">
        <f>N11</f>
        <v>-80.56</v>
      </c>
      <c r="G63" s="16" t="s">
        <v>28</v>
      </c>
      <c r="H63" s="13"/>
      <c r="I63" s="16"/>
      <c r="J63" s="19"/>
      <c r="K63" s="16"/>
      <c r="L63" s="15"/>
      <c r="M63" s="29"/>
      <c r="N63" s="19">
        <f>SQRT(N64^2 + N65^2)</f>
        <v>0.32679800573034917</v>
      </c>
      <c r="O63" s="14" t="s">
        <v>28</v>
      </c>
      <c r="P63" s="19">
        <f>F28/(F73*F63^2)</f>
        <v>2.4826216484607746E-3</v>
      </c>
      <c r="Q63" s="14" t="s">
        <v>31</v>
      </c>
      <c r="R63" s="19">
        <f>P63*N63</f>
        <v>8.1131580369997317E-4</v>
      </c>
      <c r="S63" s="14" t="s">
        <v>0</v>
      </c>
      <c r="T63" s="28">
        <f>(R63/$J$33)^2*100</f>
        <v>0.86179458154874689</v>
      </c>
      <c r="U63" s="16" t="s">
        <v>11</v>
      </c>
      <c r="V63" s="64"/>
      <c r="W63" s="83"/>
      <c r="X63" s="83"/>
      <c r="Y63" s="83"/>
    </row>
    <row r="64" spans="3:25" ht="25" customHeight="1">
      <c r="C64" s="17" t="s">
        <v>74</v>
      </c>
      <c r="D64" s="8">
        <f>D63+1</f>
        <v>2</v>
      </c>
      <c r="E64" s="65" t="s">
        <v>34</v>
      </c>
      <c r="F64" s="28">
        <f>F63</f>
        <v>-80.56</v>
      </c>
      <c r="G64" s="16" t="s">
        <v>28</v>
      </c>
      <c r="H64" s="28">
        <f>O11</f>
        <v>0.56999999999999995</v>
      </c>
      <c r="I64" s="16" t="s">
        <v>11</v>
      </c>
      <c r="J64" s="19">
        <f>F63*(H64/100)</f>
        <v>-0.45919199999999993</v>
      </c>
      <c r="K64" s="16" t="s">
        <v>28</v>
      </c>
      <c r="L64" s="15" t="s">
        <v>29</v>
      </c>
      <c r="M64" s="29">
        <v>2</v>
      </c>
      <c r="N64" s="19">
        <f>J64/M64</f>
        <v>-0.22959599999999997</v>
      </c>
      <c r="O64" s="14" t="s">
        <v>28</v>
      </c>
      <c r="P64" s="19"/>
      <c r="Q64" s="14" t="s">
        <v>14</v>
      </c>
      <c r="R64" s="18" t="s">
        <v>14</v>
      </c>
      <c r="S64" s="14" t="s">
        <v>14</v>
      </c>
      <c r="T64" s="18" t="s">
        <v>14</v>
      </c>
      <c r="U64" s="14" t="s">
        <v>14</v>
      </c>
      <c r="V64" s="64" t="s">
        <v>42</v>
      </c>
      <c r="W64" s="91" t="s">
        <v>71</v>
      </c>
      <c r="X64" s="91"/>
      <c r="Y64" s="91"/>
    </row>
    <row r="65" spans="1:25" ht="25" customHeight="1">
      <c r="C65" s="17" t="s">
        <v>74</v>
      </c>
      <c r="D65" s="8">
        <f t="shared" ref="D65:D70" si="0">D64+1</f>
        <v>3</v>
      </c>
      <c r="E65" s="65" t="s">
        <v>12</v>
      </c>
      <c r="F65" s="13">
        <v>0</v>
      </c>
      <c r="G65" s="16" t="s">
        <v>28</v>
      </c>
      <c r="H65" s="28">
        <f>P11</f>
        <v>0.5</v>
      </c>
      <c r="I65" s="16" t="s">
        <v>11</v>
      </c>
      <c r="J65" s="18">
        <f>(H65/100)*F63</f>
        <v>-0.40280000000000005</v>
      </c>
      <c r="K65" s="16" t="s">
        <v>28</v>
      </c>
      <c r="L65" s="15" t="s">
        <v>33</v>
      </c>
      <c r="M65" s="29">
        <f t="shared" ref="M65" si="1">(SQRT(3))</f>
        <v>1.7320508075688772</v>
      </c>
      <c r="N65" s="19">
        <f>J65/M65</f>
        <v>-0.2325566884295813</v>
      </c>
      <c r="O65" s="14" t="s">
        <v>28</v>
      </c>
      <c r="P65" s="19"/>
      <c r="Q65" s="14" t="s">
        <v>14</v>
      </c>
      <c r="R65" s="18" t="s">
        <v>14</v>
      </c>
      <c r="S65" s="14" t="s">
        <v>14</v>
      </c>
      <c r="T65" s="18" t="s">
        <v>14</v>
      </c>
      <c r="U65" s="14" t="s">
        <v>14</v>
      </c>
      <c r="V65" s="64" t="s">
        <v>36</v>
      </c>
      <c r="W65" s="91" t="s">
        <v>95</v>
      </c>
      <c r="X65" s="91"/>
      <c r="Y65" s="91"/>
    </row>
    <row r="66" spans="1:25" ht="25" customHeight="1">
      <c r="C66" s="17" t="s">
        <v>74</v>
      </c>
      <c r="D66" s="8">
        <f t="shared" si="0"/>
        <v>4</v>
      </c>
      <c r="E66" s="66" t="s">
        <v>25</v>
      </c>
      <c r="F66" s="13">
        <v>0</v>
      </c>
      <c r="G66" s="16" t="s">
        <v>0</v>
      </c>
      <c r="H66" s="28" cm="1">
        <f t="array" ref="H66">IF(OR(H33 &lt; MIN(L11:L13), H33 &gt; MAX(L11:L13)), "Out of Range", INDEX(M11:M13, MATCH(H33, L11:L13, 2) + 1))</f>
        <v>0.35</v>
      </c>
      <c r="I66" s="16" t="s">
        <v>11</v>
      </c>
      <c r="J66" s="19" cm="1">
        <f t="array" ref="J66">(H66/100)*IF(OR(H33 &lt; MIN(L11:L13), H33 &gt; MAX(L11:L13)), "Out of Range", INDEX(L11:L13, MATCH(H33, L11:L13, 1) + 1))</f>
        <v>8.7499999999999991E-3</v>
      </c>
      <c r="K66" s="16" t="s">
        <v>0</v>
      </c>
      <c r="L66" s="15" t="s">
        <v>33</v>
      </c>
      <c r="M66" s="29">
        <f>(SQRT(3))</f>
        <v>1.7320508075688772</v>
      </c>
      <c r="N66" s="19">
        <f>J66/M66</f>
        <v>5.0518148554092252E-3</v>
      </c>
      <c r="O66" s="14" t="s">
        <v>0</v>
      </c>
      <c r="P66" s="67">
        <v>1</v>
      </c>
      <c r="Q66" s="14" t="s">
        <v>2</v>
      </c>
      <c r="R66" s="19">
        <f>P66*N66</f>
        <v>5.0518148554092252E-3</v>
      </c>
      <c r="S66" s="14" t="s">
        <v>0</v>
      </c>
      <c r="T66" s="28">
        <f>(R66/$J$33)^2*100</f>
        <v>33.413251455829204</v>
      </c>
      <c r="U66" s="16" t="s">
        <v>11</v>
      </c>
      <c r="V66" s="64" t="s">
        <v>32</v>
      </c>
      <c r="W66" s="91" t="s">
        <v>72</v>
      </c>
      <c r="X66" s="91"/>
      <c r="Y66" s="91"/>
    </row>
    <row r="67" spans="1:25" ht="25" customHeight="1">
      <c r="C67" s="17" t="s">
        <v>74</v>
      </c>
      <c r="D67" s="8">
        <f t="shared" si="0"/>
        <v>5</v>
      </c>
      <c r="E67" s="66" t="s">
        <v>13</v>
      </c>
      <c r="F67" s="13">
        <v>0</v>
      </c>
      <c r="G67" s="16" t="s">
        <v>0</v>
      </c>
      <c r="H67" s="28">
        <f>Q11</f>
        <v>0.5</v>
      </c>
      <c r="I67" s="16" t="s">
        <v>11</v>
      </c>
      <c r="J67" s="18">
        <f>(H67/100)*H33</f>
        <v>1E-3</v>
      </c>
      <c r="K67" s="16" t="s">
        <v>0</v>
      </c>
      <c r="L67" s="15" t="s">
        <v>33</v>
      </c>
      <c r="M67" s="29">
        <f t="shared" ref="M67" si="2">(SQRT(3))</f>
        <v>1.7320508075688772</v>
      </c>
      <c r="N67" s="19">
        <f>J67/M67</f>
        <v>5.773502691896258E-4</v>
      </c>
      <c r="O67" s="14" t="s">
        <v>0</v>
      </c>
      <c r="P67" s="67">
        <v>1</v>
      </c>
      <c r="Q67" s="14" t="s">
        <v>2</v>
      </c>
      <c r="R67" s="19">
        <f>P67*N67</f>
        <v>5.773502691896258E-4</v>
      </c>
      <c r="S67" s="14" t="s">
        <v>0</v>
      </c>
      <c r="T67" s="28">
        <f>(R67/$J$33)^2*100</f>
        <v>0.43641797819858558</v>
      </c>
      <c r="U67" s="16" t="s">
        <v>11</v>
      </c>
      <c r="V67" s="64" t="s">
        <v>36</v>
      </c>
      <c r="W67" s="91" t="s">
        <v>35</v>
      </c>
      <c r="X67" s="91"/>
      <c r="Y67" s="91"/>
    </row>
    <row r="68" spans="1:25" ht="25" customHeight="1">
      <c r="C68" s="20" t="s">
        <v>75</v>
      </c>
      <c r="D68" s="8">
        <f t="shared" si="0"/>
        <v>6</v>
      </c>
      <c r="E68" s="38" t="s">
        <v>15</v>
      </c>
      <c r="F68" s="13" t="s">
        <v>14</v>
      </c>
      <c r="G68" s="16" t="s">
        <v>14</v>
      </c>
      <c r="H68" s="13" t="s">
        <v>14</v>
      </c>
      <c r="I68" s="16" t="s">
        <v>14</v>
      </c>
      <c r="J68" s="18" t="s">
        <v>14</v>
      </c>
      <c r="K68" s="16" t="s">
        <v>14</v>
      </c>
      <c r="L68" s="15" t="s">
        <v>14</v>
      </c>
      <c r="M68" s="29"/>
      <c r="N68" s="19" t="s">
        <v>14</v>
      </c>
      <c r="O68" s="14" t="s">
        <v>14</v>
      </c>
      <c r="P68" s="18" t="s">
        <v>14</v>
      </c>
      <c r="Q68" s="14" t="s">
        <v>14</v>
      </c>
      <c r="R68" s="18" t="s">
        <v>14</v>
      </c>
      <c r="S68" s="14" t="s">
        <v>14</v>
      </c>
      <c r="T68" s="18" t="s">
        <v>14</v>
      </c>
      <c r="U68" s="14" t="s">
        <v>14</v>
      </c>
      <c r="V68" s="64" t="s">
        <v>36</v>
      </c>
      <c r="W68" s="91" t="s">
        <v>46</v>
      </c>
      <c r="X68" s="91"/>
      <c r="Y68" s="91"/>
    </row>
    <row r="69" spans="1:25" ht="25" customHeight="1">
      <c r="C69" s="20" t="s">
        <v>75</v>
      </c>
      <c r="D69" s="8">
        <f t="shared" si="0"/>
        <v>7</v>
      </c>
      <c r="E69" s="38" t="s">
        <v>26</v>
      </c>
      <c r="F69" s="13" t="s">
        <v>14</v>
      </c>
      <c r="G69" s="16" t="s">
        <v>14</v>
      </c>
      <c r="H69" s="13" t="s">
        <v>14</v>
      </c>
      <c r="I69" s="16" t="s">
        <v>14</v>
      </c>
      <c r="J69" s="18" t="s">
        <v>14</v>
      </c>
      <c r="K69" s="16" t="s">
        <v>14</v>
      </c>
      <c r="L69" s="15" t="s">
        <v>14</v>
      </c>
      <c r="M69" s="29"/>
      <c r="N69" s="19" t="s">
        <v>14</v>
      </c>
      <c r="O69" s="14" t="s">
        <v>14</v>
      </c>
      <c r="P69" s="18" t="s">
        <v>14</v>
      </c>
      <c r="Q69" s="14" t="s">
        <v>14</v>
      </c>
      <c r="R69" s="18" t="s">
        <v>14</v>
      </c>
      <c r="S69" s="14" t="s">
        <v>14</v>
      </c>
      <c r="T69" s="18" t="s">
        <v>14</v>
      </c>
      <c r="U69" s="14" t="s">
        <v>14</v>
      </c>
      <c r="V69" s="64" t="s">
        <v>36</v>
      </c>
      <c r="W69" s="91" t="s">
        <v>18</v>
      </c>
      <c r="X69" s="91"/>
      <c r="Y69" s="91"/>
    </row>
    <row r="70" spans="1:25" ht="25" customHeight="1">
      <c r="C70" s="20" t="s">
        <v>75</v>
      </c>
      <c r="D70" s="8">
        <f t="shared" si="0"/>
        <v>8</v>
      </c>
      <c r="E70" s="38" t="s">
        <v>27</v>
      </c>
      <c r="F70" s="13" t="s">
        <v>14</v>
      </c>
      <c r="G70" s="16" t="s">
        <v>14</v>
      </c>
      <c r="H70" s="13" t="s">
        <v>14</v>
      </c>
      <c r="I70" s="16" t="s">
        <v>14</v>
      </c>
      <c r="J70" s="18" t="s">
        <v>14</v>
      </c>
      <c r="K70" s="16" t="s">
        <v>14</v>
      </c>
      <c r="L70" s="15" t="s">
        <v>14</v>
      </c>
      <c r="M70" s="29"/>
      <c r="N70" s="19" t="s">
        <v>14</v>
      </c>
      <c r="O70" s="14" t="s">
        <v>14</v>
      </c>
      <c r="P70" s="18" t="s">
        <v>14</v>
      </c>
      <c r="Q70" s="14" t="s">
        <v>14</v>
      </c>
      <c r="R70" s="18" t="s">
        <v>14</v>
      </c>
      <c r="S70" s="14" t="s">
        <v>14</v>
      </c>
      <c r="T70" s="18" t="s">
        <v>14</v>
      </c>
      <c r="U70" s="14" t="s">
        <v>14</v>
      </c>
      <c r="V70" s="64" t="s">
        <v>36</v>
      </c>
      <c r="W70" s="91" t="s">
        <v>73</v>
      </c>
      <c r="X70" s="91"/>
      <c r="Y70" s="91"/>
    </row>
    <row r="71" spans="1:25" s="12" customFormat="1" ht="35" customHeight="1">
      <c r="J71" s="68"/>
    </row>
    <row r="72" spans="1:25" ht="25" customHeight="1">
      <c r="D72" s="85" t="s">
        <v>5</v>
      </c>
      <c r="E72" s="85"/>
      <c r="F72" s="85"/>
      <c r="G72" s="85"/>
      <c r="H72" s="85"/>
      <c r="I72" s="85"/>
      <c r="J72" s="85"/>
      <c r="K72" s="85"/>
      <c r="L72" s="85"/>
      <c r="M72" s="85"/>
      <c r="N72" s="85"/>
      <c r="O72" s="85"/>
      <c r="P72" s="85"/>
      <c r="Q72" s="85"/>
      <c r="R72" s="85"/>
      <c r="S72" s="85"/>
      <c r="T72" s="85"/>
      <c r="U72" s="85"/>
      <c r="V72" s="85"/>
      <c r="W72" s="85"/>
      <c r="X72" s="85"/>
      <c r="Y72" s="85"/>
    </row>
    <row r="73" spans="1:25" ht="43" customHeight="1">
      <c r="A73" s="5">
        <f>1/F73</f>
        <v>16.112000000000002</v>
      </c>
      <c r="C73" s="17" t="s">
        <v>74</v>
      </c>
      <c r="D73" s="8">
        <f>D70+1</f>
        <v>9</v>
      </c>
      <c r="E73" s="35" t="s">
        <v>43</v>
      </c>
      <c r="F73" s="27">
        <f>(F74/F77)</f>
        <v>6.2065541211519359E-2</v>
      </c>
      <c r="G73" s="16" t="s">
        <v>47</v>
      </c>
      <c r="H73" s="13"/>
      <c r="I73" s="16"/>
      <c r="J73" s="19"/>
      <c r="K73" s="16" t="s">
        <v>47</v>
      </c>
      <c r="L73" s="15"/>
      <c r="M73" s="14"/>
      <c r="N73" s="19">
        <f>SQRT((P74*N74)^2+(P77*N77)^2)</f>
        <v>2.1619249383669527E-3</v>
      </c>
      <c r="O73" s="16" t="s">
        <v>47</v>
      </c>
      <c r="P73" s="19">
        <f>-F28/(F73^2*F63)</f>
        <v>3.2224000000000004</v>
      </c>
      <c r="Q73" s="14" t="s">
        <v>48</v>
      </c>
      <c r="R73" s="19">
        <f>P73*N73</f>
        <v>6.9665869213936691E-3</v>
      </c>
      <c r="S73" s="14" t="s">
        <v>0</v>
      </c>
      <c r="T73" s="28">
        <f>(R73/$J$33)^2*100</f>
        <v>63.542457625714036</v>
      </c>
      <c r="U73" s="16" t="s">
        <v>11</v>
      </c>
      <c r="V73" s="64" t="s">
        <v>77</v>
      </c>
      <c r="W73" s="92" t="s">
        <v>76</v>
      </c>
      <c r="X73" s="93"/>
      <c r="Y73" s="94"/>
    </row>
    <row r="74" spans="1:25" ht="25" customHeight="1">
      <c r="C74" s="17" t="s">
        <v>74</v>
      </c>
      <c r="D74" s="8">
        <f>D73+1</f>
        <v>10</v>
      </c>
      <c r="E74" s="65" t="s">
        <v>49</v>
      </c>
      <c r="F74" s="25">
        <f>F28</f>
        <v>1</v>
      </c>
      <c r="G74" s="16" t="s">
        <v>45</v>
      </c>
      <c r="H74" s="13"/>
      <c r="I74" s="16" t="s">
        <v>45</v>
      </c>
      <c r="J74" s="19"/>
      <c r="K74" s="16" t="s">
        <v>45</v>
      </c>
      <c r="L74" s="15"/>
      <c r="M74" s="14"/>
      <c r="N74" s="19">
        <f>SQRT(SUMSQ(N75:N76))</f>
        <v>3.6514837167011078E-3</v>
      </c>
      <c r="O74" s="16" t="s">
        <v>45</v>
      </c>
      <c r="P74" s="19">
        <f>1/F77</f>
        <v>6.2065541211519359E-2</v>
      </c>
      <c r="Q74" s="16" t="s">
        <v>53</v>
      </c>
      <c r="R74" s="18" t="s">
        <v>14</v>
      </c>
      <c r="S74" s="14" t="s">
        <v>14</v>
      </c>
      <c r="T74" s="28"/>
      <c r="U74" s="14"/>
      <c r="V74" s="64"/>
      <c r="W74" s="83"/>
      <c r="X74" s="83"/>
      <c r="Y74" s="83"/>
    </row>
    <row r="75" spans="1:25" ht="25" customHeight="1">
      <c r="C75" s="17" t="s">
        <v>74</v>
      </c>
      <c r="D75" s="8">
        <f t="shared" ref="D75:D82" si="3">D74+1</f>
        <v>11</v>
      </c>
      <c r="E75" s="42" t="s">
        <v>16</v>
      </c>
      <c r="F75" s="13">
        <v>0</v>
      </c>
      <c r="G75" s="16" t="s">
        <v>45</v>
      </c>
      <c r="H75" s="18">
        <f>W11/1000</f>
        <v>2E-3</v>
      </c>
      <c r="I75" s="16" t="s">
        <v>45</v>
      </c>
      <c r="J75" s="19">
        <f>H75</f>
        <v>2E-3</v>
      </c>
      <c r="K75" s="16" t="s">
        <v>45</v>
      </c>
      <c r="L75" s="15" t="s">
        <v>33</v>
      </c>
      <c r="M75" s="29">
        <f t="shared" ref="M75" si="4">(SQRT(3))</f>
        <v>1.7320508075688772</v>
      </c>
      <c r="N75" s="19">
        <f>J75/M75</f>
        <v>1.1547005383792516E-3</v>
      </c>
      <c r="O75" s="16" t="s">
        <v>45</v>
      </c>
      <c r="P75" s="67">
        <v>1</v>
      </c>
      <c r="Q75" s="14" t="s">
        <v>2</v>
      </c>
      <c r="R75" s="18" t="s">
        <v>14</v>
      </c>
      <c r="S75" s="14" t="s">
        <v>14</v>
      </c>
      <c r="T75" s="28"/>
      <c r="U75" s="14"/>
      <c r="V75" s="64"/>
      <c r="W75" s="83" t="s">
        <v>17</v>
      </c>
      <c r="X75" s="83"/>
      <c r="Y75" s="83"/>
    </row>
    <row r="76" spans="1:25" ht="25" customHeight="1">
      <c r="A76" s="12"/>
      <c r="B76" s="12"/>
      <c r="C76" s="17" t="s">
        <v>74</v>
      </c>
      <c r="D76" s="8">
        <f t="shared" si="3"/>
        <v>12</v>
      </c>
      <c r="E76" s="42" t="s">
        <v>19</v>
      </c>
      <c r="F76" s="13">
        <v>0</v>
      </c>
      <c r="G76" s="16"/>
      <c r="H76" s="18">
        <f xml:space="preserve"> VLOOKUP(F77, R11:U14, 3, TRUE)/1000</f>
        <v>1.2E-2</v>
      </c>
      <c r="I76" s="16" t="s">
        <v>45</v>
      </c>
      <c r="J76" s="19">
        <f>H76</f>
        <v>1.2E-2</v>
      </c>
      <c r="K76" s="16" t="s">
        <v>83</v>
      </c>
      <c r="L76" s="15" t="s">
        <v>82</v>
      </c>
      <c r="M76" s="29">
        <f>(2*SQRT(3))</f>
        <v>3.4641016151377544</v>
      </c>
      <c r="N76" s="19">
        <f>J76/M76</f>
        <v>3.4641016151377548E-3</v>
      </c>
      <c r="O76" s="16" t="s">
        <v>45</v>
      </c>
      <c r="P76" s="67">
        <v>1</v>
      </c>
      <c r="Q76" s="14" t="s">
        <v>2</v>
      </c>
      <c r="R76" s="18" t="s">
        <v>14</v>
      </c>
      <c r="S76" s="14" t="s">
        <v>14</v>
      </c>
      <c r="T76" s="28"/>
      <c r="U76" s="14"/>
      <c r="V76" s="64"/>
      <c r="W76" s="83"/>
      <c r="X76" s="83"/>
      <c r="Y76" s="83"/>
    </row>
    <row r="77" spans="1:25" ht="25" customHeight="1">
      <c r="A77" s="12"/>
      <c r="B77" s="12"/>
      <c r="C77" s="17" t="s">
        <v>74</v>
      </c>
      <c r="D77" s="8">
        <f t="shared" si="3"/>
        <v>13</v>
      </c>
      <c r="E77" s="65" t="s">
        <v>50</v>
      </c>
      <c r="F77" s="69">
        <f>ABS(F63*F11*F28)</f>
        <v>16.112000000000002</v>
      </c>
      <c r="G77" s="16" t="s">
        <v>41</v>
      </c>
      <c r="H77" s="13"/>
      <c r="I77" s="16"/>
      <c r="J77" s="19"/>
      <c r="K77" s="16"/>
      <c r="L77" s="15"/>
      <c r="M77" s="14"/>
      <c r="N77" s="19">
        <f>SQRT(SUMSQ(N78:N78))</f>
        <v>0.55813605223099505</v>
      </c>
      <c r="O77" s="16" t="s">
        <v>41</v>
      </c>
      <c r="P77" s="19">
        <f>F73/F77</f>
        <v>3.852131405878808E-3</v>
      </c>
      <c r="Q77" s="14" t="s">
        <v>55</v>
      </c>
      <c r="R77" s="18" t="s">
        <v>14</v>
      </c>
      <c r="S77" s="14" t="s">
        <v>14</v>
      </c>
      <c r="T77" s="28"/>
      <c r="U77" s="14"/>
      <c r="V77" s="64"/>
      <c r="W77" s="86"/>
      <c r="X77" s="86"/>
      <c r="Y77" s="86"/>
    </row>
    <row r="78" spans="1:25" ht="25" customHeight="1">
      <c r="A78" s="12"/>
      <c r="B78" s="12"/>
      <c r="C78" s="17" t="s">
        <v>74</v>
      </c>
      <c r="D78" s="8">
        <f t="shared" si="3"/>
        <v>14</v>
      </c>
      <c r="E78" s="42" t="s">
        <v>100</v>
      </c>
      <c r="F78" s="13">
        <v>0</v>
      </c>
      <c r="G78" s="16" t="s">
        <v>41</v>
      </c>
      <c r="H78" s="69">
        <f xml:space="preserve"> VLOOKUP(F77, R11:U14,4, TRUE)</f>
        <v>0.6</v>
      </c>
      <c r="I78" s="16" t="s">
        <v>11</v>
      </c>
      <c r="J78" s="19">
        <f>(H78/100)*F63*F9</f>
        <v>-0.96672000000000002</v>
      </c>
      <c r="K78" s="16" t="s">
        <v>41</v>
      </c>
      <c r="L78" s="15" t="s">
        <v>33</v>
      </c>
      <c r="M78" s="29">
        <f t="shared" ref="M78" si="5">(SQRT(3))</f>
        <v>1.7320508075688772</v>
      </c>
      <c r="N78" s="19">
        <f>J78/M78</f>
        <v>-0.55813605223099505</v>
      </c>
      <c r="O78" s="16" t="s">
        <v>41</v>
      </c>
      <c r="P78" s="19"/>
      <c r="Q78" s="14"/>
      <c r="R78" s="18" t="s">
        <v>14</v>
      </c>
      <c r="S78" s="14" t="s">
        <v>14</v>
      </c>
      <c r="T78" s="28"/>
      <c r="U78" s="14"/>
      <c r="V78" s="64"/>
      <c r="W78" s="83"/>
      <c r="X78" s="83"/>
      <c r="Y78" s="83"/>
    </row>
    <row r="79" spans="1:25" ht="25" customHeight="1">
      <c r="C79" s="20" t="s">
        <v>75</v>
      </c>
      <c r="D79" s="8">
        <f t="shared" si="3"/>
        <v>15</v>
      </c>
      <c r="E79" s="38" t="s">
        <v>22</v>
      </c>
      <c r="F79" s="13" t="s">
        <v>14</v>
      </c>
      <c r="G79" s="16" t="s">
        <v>14</v>
      </c>
      <c r="H79" s="13" t="s">
        <v>14</v>
      </c>
      <c r="I79" s="16" t="s">
        <v>14</v>
      </c>
      <c r="J79" s="18" t="s">
        <v>14</v>
      </c>
      <c r="K79" s="16" t="s">
        <v>14</v>
      </c>
      <c r="L79" s="15" t="s">
        <v>14</v>
      </c>
      <c r="M79" s="29"/>
      <c r="N79" s="19" t="s">
        <v>14</v>
      </c>
      <c r="O79" s="14" t="s">
        <v>14</v>
      </c>
      <c r="P79" s="18" t="s">
        <v>14</v>
      </c>
      <c r="Q79" s="14" t="s">
        <v>14</v>
      </c>
      <c r="R79" s="18" t="s">
        <v>14</v>
      </c>
      <c r="S79" s="14" t="s">
        <v>14</v>
      </c>
      <c r="T79" s="28"/>
      <c r="U79" s="14"/>
      <c r="V79" s="64"/>
      <c r="W79" s="83" t="s">
        <v>46</v>
      </c>
      <c r="X79" s="83"/>
      <c r="Y79" s="83"/>
    </row>
    <row r="80" spans="1:25" ht="25" customHeight="1">
      <c r="C80" s="20" t="s">
        <v>75</v>
      </c>
      <c r="D80" s="8">
        <f t="shared" si="3"/>
        <v>16</v>
      </c>
      <c r="E80" s="38" t="s">
        <v>99</v>
      </c>
      <c r="F80" s="13" t="s">
        <v>14</v>
      </c>
      <c r="G80" s="16" t="s">
        <v>14</v>
      </c>
      <c r="H80" s="13" t="s">
        <v>14</v>
      </c>
      <c r="I80" s="16" t="s">
        <v>14</v>
      </c>
      <c r="J80" s="18" t="s">
        <v>14</v>
      </c>
      <c r="K80" s="16" t="s">
        <v>14</v>
      </c>
      <c r="L80" s="15" t="s">
        <v>14</v>
      </c>
      <c r="M80" s="29"/>
      <c r="N80" s="19" t="s">
        <v>14</v>
      </c>
      <c r="O80" s="14" t="s">
        <v>14</v>
      </c>
      <c r="P80" s="18" t="s">
        <v>14</v>
      </c>
      <c r="Q80" s="14" t="s">
        <v>14</v>
      </c>
      <c r="R80" s="18" t="s">
        <v>14</v>
      </c>
      <c r="S80" s="14" t="s">
        <v>14</v>
      </c>
      <c r="T80" s="28"/>
      <c r="U80" s="14"/>
      <c r="V80" s="64"/>
      <c r="W80" s="83"/>
      <c r="X80" s="83"/>
      <c r="Y80" s="83"/>
    </row>
    <row r="81" spans="3:25" ht="25" customHeight="1">
      <c r="C81" s="20" t="s">
        <v>75</v>
      </c>
      <c r="D81" s="8">
        <f t="shared" si="3"/>
        <v>17</v>
      </c>
      <c r="E81" s="38" t="s">
        <v>98</v>
      </c>
      <c r="F81" s="13" t="s">
        <v>14</v>
      </c>
      <c r="G81" s="16" t="s">
        <v>14</v>
      </c>
      <c r="H81" s="13" t="s">
        <v>14</v>
      </c>
      <c r="I81" s="16" t="s">
        <v>14</v>
      </c>
      <c r="J81" s="18" t="s">
        <v>14</v>
      </c>
      <c r="K81" s="16" t="s">
        <v>14</v>
      </c>
      <c r="L81" s="15" t="s">
        <v>14</v>
      </c>
      <c r="M81" s="29"/>
      <c r="N81" s="19" t="s">
        <v>14</v>
      </c>
      <c r="O81" s="14" t="s">
        <v>14</v>
      </c>
      <c r="P81" s="18" t="s">
        <v>14</v>
      </c>
      <c r="Q81" s="14" t="s">
        <v>14</v>
      </c>
      <c r="R81" s="18" t="s">
        <v>14</v>
      </c>
      <c r="S81" s="14" t="s">
        <v>14</v>
      </c>
      <c r="T81" s="28"/>
      <c r="U81" s="14"/>
      <c r="V81" s="64"/>
      <c r="W81" s="83"/>
      <c r="X81" s="83"/>
      <c r="Y81" s="83"/>
    </row>
    <row r="82" spans="3:25" ht="25" customHeight="1">
      <c r="C82" s="20" t="s">
        <v>75</v>
      </c>
      <c r="D82" s="8">
        <f t="shared" si="3"/>
        <v>18</v>
      </c>
      <c r="E82" s="38" t="s">
        <v>20</v>
      </c>
      <c r="F82" s="13" t="s">
        <v>14</v>
      </c>
      <c r="G82" s="16" t="s">
        <v>14</v>
      </c>
      <c r="H82" s="13" t="s">
        <v>14</v>
      </c>
      <c r="I82" s="16" t="s">
        <v>14</v>
      </c>
      <c r="J82" s="18" t="s">
        <v>14</v>
      </c>
      <c r="K82" s="16" t="s">
        <v>14</v>
      </c>
      <c r="L82" s="15" t="s">
        <v>14</v>
      </c>
      <c r="M82" s="29"/>
      <c r="N82" s="19" t="s">
        <v>14</v>
      </c>
      <c r="O82" s="14" t="s">
        <v>14</v>
      </c>
      <c r="P82" s="18" t="s">
        <v>14</v>
      </c>
      <c r="Q82" s="14" t="s">
        <v>14</v>
      </c>
      <c r="R82" s="18" t="s">
        <v>14</v>
      </c>
      <c r="S82" s="14" t="s">
        <v>14</v>
      </c>
      <c r="T82" s="28"/>
      <c r="U82" s="14"/>
      <c r="V82" s="64"/>
      <c r="W82" s="83" t="s">
        <v>21</v>
      </c>
      <c r="X82" s="83"/>
      <c r="Y82" s="83"/>
    </row>
    <row r="83" spans="3:25" s="12" customFormat="1" ht="35" customHeight="1">
      <c r="J83" s="68"/>
    </row>
    <row r="84" spans="3:25" ht="25" customHeight="1">
      <c r="D84" s="85" t="s">
        <v>97</v>
      </c>
      <c r="E84" s="85"/>
      <c r="F84" s="85"/>
      <c r="G84" s="85"/>
      <c r="H84" s="85"/>
      <c r="I84" s="85"/>
      <c r="J84" s="85"/>
      <c r="K84" s="85"/>
      <c r="L84" s="85"/>
      <c r="M84" s="85"/>
      <c r="N84" s="85"/>
      <c r="O84" s="85"/>
      <c r="P84" s="85"/>
      <c r="Q84" s="85"/>
      <c r="R84" s="85"/>
      <c r="S84" s="85"/>
      <c r="T84" s="85"/>
      <c r="U84" s="85"/>
      <c r="V84" s="85"/>
      <c r="W84" s="85"/>
      <c r="X84" s="85"/>
      <c r="Y84" s="85"/>
    </row>
    <row r="85" spans="3:25" ht="25" customHeight="1">
      <c r="C85" s="17" t="s">
        <v>74</v>
      </c>
      <c r="D85" s="8">
        <f>D82+1</f>
        <v>19</v>
      </c>
      <c r="E85" s="35" t="s">
        <v>96</v>
      </c>
      <c r="F85" s="25">
        <f>F28</f>
        <v>1</v>
      </c>
      <c r="G85" s="16" t="s">
        <v>45</v>
      </c>
      <c r="H85" s="13"/>
      <c r="I85" s="16" t="s">
        <v>45</v>
      </c>
      <c r="J85" s="19"/>
      <c r="K85" s="16" t="s">
        <v>45</v>
      </c>
      <c r="L85" s="15"/>
      <c r="M85" s="14"/>
      <c r="N85" s="19">
        <f>SQRT((N86)^2 + (N87)^2)</f>
        <v>5.7741747769519819E-3</v>
      </c>
      <c r="O85" s="16" t="s">
        <v>45</v>
      </c>
      <c r="P85" s="19">
        <f>1/(F73*F63)</f>
        <v>-0.2</v>
      </c>
      <c r="Q85" s="16" t="s">
        <v>58</v>
      </c>
      <c r="R85" s="19">
        <f>P85*N85</f>
        <v>-1.1548349553903963E-3</v>
      </c>
      <c r="S85" s="14" t="s">
        <v>0</v>
      </c>
      <c r="T85" s="28">
        <f>(R85/$J$33)^2*100</f>
        <v>1.7460783587094069</v>
      </c>
      <c r="U85" s="16" t="s">
        <v>11</v>
      </c>
      <c r="V85" s="15"/>
      <c r="W85" s="83"/>
      <c r="X85" s="83"/>
      <c r="Y85" s="83"/>
    </row>
    <row r="86" spans="3:25" ht="25" customHeight="1">
      <c r="C86" s="17" t="s">
        <v>74</v>
      </c>
      <c r="D86" s="8">
        <f>D85+1</f>
        <v>20</v>
      </c>
      <c r="E86" s="14" t="s">
        <v>56</v>
      </c>
      <c r="F86" s="13">
        <v>0</v>
      </c>
      <c r="G86" s="16" t="s">
        <v>45</v>
      </c>
      <c r="H86" s="28">
        <f>I9</f>
        <v>16</v>
      </c>
      <c r="I86" s="16" t="s">
        <v>62</v>
      </c>
      <c r="J86" s="19">
        <f>(I10*2)/2^H86</f>
        <v>3.0517578125E-4</v>
      </c>
      <c r="K86" s="16" t="s">
        <v>45</v>
      </c>
      <c r="L86" s="15" t="s">
        <v>82</v>
      </c>
      <c r="M86" s="29">
        <f>(2*SQRT(3))</f>
        <v>3.4641016151377544</v>
      </c>
      <c r="N86" s="19">
        <f>J86/M86</f>
        <v>8.8096659727420932E-5</v>
      </c>
      <c r="O86" s="16" t="s">
        <v>45</v>
      </c>
      <c r="P86" s="67">
        <v>1</v>
      </c>
      <c r="Q86" s="14" t="s">
        <v>2</v>
      </c>
      <c r="R86" s="18" t="s">
        <v>14</v>
      </c>
      <c r="S86" s="14" t="s">
        <v>14</v>
      </c>
      <c r="T86" s="28"/>
      <c r="U86" s="16" t="s">
        <v>11</v>
      </c>
      <c r="V86" s="15"/>
      <c r="W86" s="83"/>
      <c r="X86" s="83"/>
      <c r="Y86" s="83"/>
    </row>
    <row r="87" spans="3:25" ht="25" customHeight="1">
      <c r="C87" s="17" t="s">
        <v>74</v>
      </c>
      <c r="D87" s="8">
        <f t="shared" ref="D87:D91" si="6">D86+1</f>
        <v>21</v>
      </c>
      <c r="E87" s="14" t="s">
        <v>59</v>
      </c>
      <c r="F87" s="13">
        <v>0</v>
      </c>
      <c r="G87" s="16" t="s">
        <v>45</v>
      </c>
      <c r="H87" s="69">
        <f>X11</f>
        <v>0.1</v>
      </c>
      <c r="I87" s="16" t="s">
        <v>11</v>
      </c>
      <c r="J87" s="19">
        <f>(H87/100)*(I10)</f>
        <v>0.01</v>
      </c>
      <c r="K87" s="16" t="s">
        <v>45</v>
      </c>
      <c r="L87" s="15" t="s">
        <v>33</v>
      </c>
      <c r="M87" s="29">
        <f t="shared" ref="M87" si="7">(SQRT(3))</f>
        <v>1.7320508075688772</v>
      </c>
      <c r="N87" s="19">
        <f>J87/M87</f>
        <v>5.773502691896258E-3</v>
      </c>
      <c r="O87" s="16" t="s">
        <v>45</v>
      </c>
      <c r="P87" s="67">
        <v>1</v>
      </c>
      <c r="Q87" s="14" t="s">
        <v>2</v>
      </c>
      <c r="R87" s="18" t="s">
        <v>14</v>
      </c>
      <c r="S87" s="14" t="s">
        <v>14</v>
      </c>
      <c r="T87" s="28"/>
      <c r="U87" s="16" t="s">
        <v>11</v>
      </c>
      <c r="V87" s="15"/>
      <c r="W87" s="83"/>
      <c r="X87" s="83"/>
      <c r="Y87" s="83"/>
    </row>
    <row r="88" spans="3:25" ht="25" customHeight="1">
      <c r="C88" s="20" t="s">
        <v>75</v>
      </c>
      <c r="D88" s="8">
        <f t="shared" si="6"/>
        <v>22</v>
      </c>
      <c r="E88" s="20" t="s">
        <v>81</v>
      </c>
      <c r="F88" s="13" t="s">
        <v>14</v>
      </c>
      <c r="G88" s="16" t="s">
        <v>14</v>
      </c>
      <c r="H88" s="13" t="s">
        <v>14</v>
      </c>
      <c r="I88" s="16" t="s">
        <v>14</v>
      </c>
      <c r="J88" s="18" t="s">
        <v>14</v>
      </c>
      <c r="K88" s="16" t="s">
        <v>14</v>
      </c>
      <c r="L88" s="15" t="s">
        <v>14</v>
      </c>
      <c r="M88" s="29"/>
      <c r="N88" s="19" t="s">
        <v>14</v>
      </c>
      <c r="O88" s="14" t="s">
        <v>14</v>
      </c>
      <c r="P88" s="18" t="s">
        <v>14</v>
      </c>
      <c r="Q88" s="14" t="s">
        <v>14</v>
      </c>
      <c r="R88" s="18" t="s">
        <v>14</v>
      </c>
      <c r="S88" s="14" t="s">
        <v>14</v>
      </c>
      <c r="T88" s="28"/>
      <c r="U88" s="16"/>
      <c r="V88" s="15"/>
      <c r="W88" s="83"/>
      <c r="X88" s="83"/>
      <c r="Y88" s="83"/>
    </row>
    <row r="89" spans="3:25" ht="25" customHeight="1">
      <c r="C89" s="20" t="s">
        <v>75</v>
      </c>
      <c r="D89" s="8">
        <f t="shared" si="6"/>
        <v>23</v>
      </c>
      <c r="E89" s="38" t="s">
        <v>80</v>
      </c>
      <c r="F89" s="13" t="s">
        <v>14</v>
      </c>
      <c r="G89" s="16" t="s">
        <v>14</v>
      </c>
      <c r="H89" s="13" t="s">
        <v>14</v>
      </c>
      <c r="I89" s="16" t="s">
        <v>14</v>
      </c>
      <c r="J89" s="18" t="s">
        <v>14</v>
      </c>
      <c r="K89" s="16" t="s">
        <v>14</v>
      </c>
      <c r="L89" s="15" t="s">
        <v>14</v>
      </c>
      <c r="M89" s="29"/>
      <c r="N89" s="19" t="s">
        <v>14</v>
      </c>
      <c r="O89" s="14" t="s">
        <v>14</v>
      </c>
      <c r="P89" s="18" t="s">
        <v>14</v>
      </c>
      <c r="Q89" s="14" t="s">
        <v>14</v>
      </c>
      <c r="R89" s="18" t="s">
        <v>14</v>
      </c>
      <c r="S89" s="14" t="s">
        <v>14</v>
      </c>
      <c r="T89" s="28"/>
      <c r="U89" s="16"/>
      <c r="V89" s="15"/>
      <c r="W89" s="83"/>
      <c r="X89" s="83"/>
      <c r="Y89" s="83"/>
    </row>
    <row r="90" spans="3:25" ht="25" customHeight="1">
      <c r="C90" s="20" t="s">
        <v>75</v>
      </c>
      <c r="D90" s="8">
        <f t="shared" si="6"/>
        <v>24</v>
      </c>
      <c r="E90" s="38" t="s">
        <v>61</v>
      </c>
      <c r="F90" s="13" t="s">
        <v>14</v>
      </c>
      <c r="G90" s="16" t="s">
        <v>14</v>
      </c>
      <c r="H90" s="13" t="s">
        <v>14</v>
      </c>
      <c r="I90" s="16" t="s">
        <v>14</v>
      </c>
      <c r="J90" s="18" t="s">
        <v>14</v>
      </c>
      <c r="K90" s="16" t="s">
        <v>14</v>
      </c>
      <c r="L90" s="15" t="s">
        <v>14</v>
      </c>
      <c r="M90" s="29"/>
      <c r="N90" s="19" t="s">
        <v>14</v>
      </c>
      <c r="O90" s="14" t="s">
        <v>14</v>
      </c>
      <c r="P90" s="18" t="s">
        <v>14</v>
      </c>
      <c r="Q90" s="14" t="s">
        <v>14</v>
      </c>
      <c r="R90" s="18" t="s">
        <v>14</v>
      </c>
      <c r="S90" s="14" t="s">
        <v>14</v>
      </c>
      <c r="T90" s="28"/>
      <c r="U90" s="16" t="s">
        <v>11</v>
      </c>
      <c r="V90" s="15"/>
      <c r="W90" s="83"/>
      <c r="X90" s="83"/>
      <c r="Y90" s="83"/>
    </row>
    <row r="91" spans="3:25" ht="25" customHeight="1">
      <c r="C91" s="20" t="s">
        <v>75</v>
      </c>
      <c r="D91" s="8">
        <f t="shared" si="6"/>
        <v>25</v>
      </c>
      <c r="E91" s="38" t="s">
        <v>60</v>
      </c>
      <c r="F91" s="13" t="s">
        <v>14</v>
      </c>
      <c r="G91" s="16" t="s">
        <v>14</v>
      </c>
      <c r="H91" s="13" t="s">
        <v>14</v>
      </c>
      <c r="I91" s="16" t="s">
        <v>14</v>
      </c>
      <c r="J91" s="18" t="s">
        <v>14</v>
      </c>
      <c r="K91" s="16" t="s">
        <v>14</v>
      </c>
      <c r="L91" s="15" t="s">
        <v>14</v>
      </c>
      <c r="M91" s="29"/>
      <c r="N91" s="19" t="s">
        <v>14</v>
      </c>
      <c r="O91" s="14" t="s">
        <v>14</v>
      </c>
      <c r="P91" s="18" t="s">
        <v>14</v>
      </c>
      <c r="Q91" s="14" t="s">
        <v>14</v>
      </c>
      <c r="R91" s="18" t="s">
        <v>14</v>
      </c>
      <c r="S91" s="14" t="s">
        <v>14</v>
      </c>
      <c r="T91" s="28"/>
      <c r="U91" s="16" t="s">
        <v>11</v>
      </c>
      <c r="V91" s="15"/>
      <c r="W91" s="83" t="s">
        <v>63</v>
      </c>
      <c r="X91" s="83"/>
      <c r="Y91" s="83"/>
    </row>
    <row r="92" spans="3:25" s="12" customFormat="1" ht="35" customHeight="1">
      <c r="J92" s="68"/>
    </row>
    <row r="93" spans="3:25" ht="25">
      <c r="C93" s="20" t="s">
        <v>75</v>
      </c>
      <c r="D93" s="85" t="s">
        <v>6</v>
      </c>
      <c r="E93" s="85"/>
      <c r="F93" s="85"/>
      <c r="G93" s="85"/>
      <c r="H93" s="85"/>
      <c r="I93" s="85"/>
      <c r="J93" s="85"/>
      <c r="K93" s="85"/>
      <c r="L93" s="85"/>
      <c r="M93" s="85"/>
      <c r="N93" s="85"/>
      <c r="O93" s="85"/>
      <c r="P93" s="85"/>
      <c r="Q93" s="85"/>
      <c r="R93" s="85"/>
      <c r="S93" s="85"/>
      <c r="T93" s="85"/>
      <c r="U93" s="85"/>
      <c r="V93" s="85"/>
      <c r="W93" s="85"/>
      <c r="X93" s="85"/>
      <c r="Y93" s="85"/>
    </row>
    <row r="94" spans="3:25">
      <c r="D94" s="8">
        <f>D91+1</f>
        <v>26</v>
      </c>
      <c r="E94" s="14"/>
      <c r="F94" s="13"/>
      <c r="G94" s="16"/>
      <c r="H94" s="13"/>
      <c r="I94" s="16"/>
      <c r="J94" s="19"/>
      <c r="K94" s="16"/>
      <c r="L94" s="15"/>
      <c r="M94" s="29"/>
      <c r="N94" s="19"/>
      <c r="O94" s="14"/>
      <c r="P94" s="19"/>
      <c r="Q94" s="14"/>
      <c r="R94" s="19"/>
      <c r="S94" s="14"/>
      <c r="T94" s="28"/>
      <c r="U94" s="16" t="s">
        <v>11</v>
      </c>
      <c r="V94" s="70"/>
      <c r="W94" s="83"/>
      <c r="X94" s="83"/>
      <c r="Y94" s="83"/>
    </row>
    <row r="95" spans="3:25">
      <c r="D95" s="8">
        <f>D94+1</f>
        <v>27</v>
      </c>
      <c r="E95" s="14"/>
      <c r="F95" s="13"/>
      <c r="G95" s="16"/>
      <c r="H95" s="13"/>
      <c r="I95" s="16"/>
      <c r="J95" s="19"/>
      <c r="K95" s="16"/>
      <c r="L95" s="15"/>
      <c r="M95" s="29"/>
      <c r="N95" s="19"/>
      <c r="O95" s="14"/>
      <c r="P95" s="19"/>
      <c r="Q95" s="14"/>
      <c r="R95" s="19"/>
      <c r="S95" s="14"/>
      <c r="T95" s="28"/>
      <c r="U95" s="16" t="s">
        <v>11</v>
      </c>
      <c r="V95" s="70"/>
      <c r="W95" s="83"/>
      <c r="X95" s="83"/>
      <c r="Y95" s="83"/>
    </row>
    <row r="96" spans="3:25">
      <c r="D96" s="8">
        <f t="shared" ref="D96:D97" si="8">D95+1</f>
        <v>28</v>
      </c>
      <c r="E96" s="14"/>
      <c r="F96" s="13"/>
      <c r="G96" s="16"/>
      <c r="H96" s="13"/>
      <c r="I96" s="16"/>
      <c r="J96" s="19"/>
      <c r="K96" s="16"/>
      <c r="L96" s="15"/>
      <c r="M96" s="29"/>
      <c r="N96" s="19"/>
      <c r="O96" s="14"/>
      <c r="P96" s="19"/>
      <c r="Q96" s="14"/>
      <c r="R96" s="19"/>
      <c r="S96" s="14"/>
      <c r="T96" s="28"/>
      <c r="U96" s="16" t="s">
        <v>11</v>
      </c>
      <c r="V96" s="70"/>
      <c r="W96" s="83"/>
      <c r="X96" s="83"/>
      <c r="Y96" s="83"/>
    </row>
    <row r="97" spans="3:25">
      <c r="D97" s="8">
        <f t="shared" si="8"/>
        <v>29</v>
      </c>
      <c r="E97" s="14"/>
      <c r="F97" s="13"/>
      <c r="G97" s="16"/>
      <c r="H97" s="13"/>
      <c r="I97" s="16"/>
      <c r="J97" s="19"/>
      <c r="K97" s="16"/>
      <c r="L97" s="15"/>
      <c r="M97" s="29"/>
      <c r="N97" s="19"/>
      <c r="O97" s="14"/>
      <c r="P97" s="19"/>
      <c r="Q97" s="14"/>
      <c r="R97" s="19"/>
      <c r="S97" s="14"/>
      <c r="T97" s="28"/>
      <c r="U97" s="16" t="s">
        <v>11</v>
      </c>
      <c r="V97" s="70"/>
      <c r="W97" s="83"/>
      <c r="X97" s="83"/>
      <c r="Y97" s="83"/>
    </row>
    <row r="98" spans="3:25">
      <c r="D98" s="8">
        <f>D97+1</f>
        <v>30</v>
      </c>
      <c r="E98" s="14"/>
      <c r="F98" s="13"/>
      <c r="G98" s="16"/>
      <c r="H98" s="13"/>
      <c r="I98" s="16"/>
      <c r="J98" s="19"/>
      <c r="K98" s="16"/>
      <c r="L98" s="15"/>
      <c r="M98" s="29"/>
      <c r="N98" s="19"/>
      <c r="O98" s="14"/>
      <c r="P98" s="19"/>
      <c r="Q98" s="14"/>
      <c r="R98" s="19"/>
      <c r="S98" s="14"/>
      <c r="T98" s="28"/>
      <c r="U98" s="16" t="s">
        <v>11</v>
      </c>
      <c r="V98" s="70"/>
      <c r="W98" s="83"/>
      <c r="X98" s="83"/>
      <c r="Y98" s="83"/>
    </row>
    <row r="99" spans="3:25" s="12" customFormat="1" ht="35" customHeight="1"/>
    <row r="100" spans="3:25" ht="25">
      <c r="C100" s="20" t="s">
        <v>75</v>
      </c>
      <c r="D100" s="85" t="s">
        <v>7</v>
      </c>
      <c r="E100" s="85"/>
      <c r="F100" s="85"/>
      <c r="G100" s="85"/>
      <c r="H100" s="85"/>
      <c r="I100" s="85"/>
      <c r="J100" s="85"/>
      <c r="K100" s="85"/>
      <c r="L100" s="85"/>
      <c r="M100" s="85"/>
      <c r="N100" s="85"/>
      <c r="O100" s="85"/>
      <c r="P100" s="85"/>
      <c r="Q100" s="85"/>
      <c r="R100" s="85"/>
      <c r="S100" s="85"/>
      <c r="T100" s="85"/>
      <c r="U100" s="85"/>
      <c r="V100" s="85"/>
      <c r="W100" s="85"/>
      <c r="X100" s="85"/>
      <c r="Y100" s="85"/>
    </row>
    <row r="101" spans="3:25" ht="18" customHeight="1">
      <c r="D101" s="84" t="s">
        <v>8</v>
      </c>
      <c r="E101" s="84"/>
      <c r="F101" s="84"/>
      <c r="G101" s="84"/>
      <c r="H101" s="84"/>
      <c r="I101" s="84"/>
      <c r="J101" s="84"/>
      <c r="K101" s="84"/>
      <c r="L101" s="84"/>
      <c r="M101" s="84"/>
      <c r="N101" s="84"/>
      <c r="O101" s="84"/>
      <c r="P101" s="84"/>
      <c r="Q101" s="84"/>
      <c r="R101" s="84"/>
      <c r="S101" s="84"/>
      <c r="T101" s="84"/>
      <c r="U101" s="84"/>
      <c r="V101" s="84"/>
      <c r="W101" s="84"/>
      <c r="X101" s="84"/>
      <c r="Y101" s="84"/>
    </row>
    <row r="102" spans="3:25">
      <c r="D102" s="8">
        <f>D98+1</f>
        <v>31</v>
      </c>
      <c r="E102" s="14"/>
      <c r="F102" s="13"/>
      <c r="G102" s="16"/>
      <c r="H102" s="13"/>
      <c r="I102" s="16"/>
      <c r="J102" s="19"/>
      <c r="K102" s="16"/>
      <c r="L102" s="15"/>
      <c r="M102" s="29"/>
      <c r="N102" s="19"/>
      <c r="O102" s="14"/>
      <c r="P102" s="19"/>
      <c r="Q102" s="14"/>
      <c r="R102" s="19"/>
      <c r="S102" s="14"/>
      <c r="T102" s="28"/>
      <c r="U102" s="16" t="s">
        <v>11</v>
      </c>
      <c r="V102" s="70"/>
      <c r="W102" s="83"/>
      <c r="X102" s="83"/>
      <c r="Y102" s="83"/>
    </row>
    <row r="103" spans="3:25">
      <c r="D103" s="8">
        <f>D102+1</f>
        <v>32</v>
      </c>
      <c r="E103" s="14"/>
      <c r="F103" s="13"/>
      <c r="G103" s="16"/>
      <c r="H103" s="13"/>
      <c r="I103" s="16"/>
      <c r="J103" s="19"/>
      <c r="K103" s="16"/>
      <c r="L103" s="15"/>
      <c r="M103" s="29"/>
      <c r="N103" s="19"/>
      <c r="O103" s="14"/>
      <c r="P103" s="19"/>
      <c r="Q103" s="14"/>
      <c r="R103" s="19"/>
      <c r="S103" s="14"/>
      <c r="T103" s="28"/>
      <c r="U103" s="16" t="s">
        <v>11</v>
      </c>
      <c r="V103" s="70"/>
      <c r="W103" s="83"/>
      <c r="X103" s="83"/>
      <c r="Y103" s="83"/>
    </row>
    <row r="104" spans="3:25">
      <c r="D104" s="8">
        <f t="shared" ref="D104:D105" si="9">D103+1</f>
        <v>33</v>
      </c>
      <c r="E104" s="14"/>
      <c r="F104" s="13"/>
      <c r="G104" s="16"/>
      <c r="H104" s="13"/>
      <c r="I104" s="16"/>
      <c r="J104" s="19"/>
      <c r="K104" s="16"/>
      <c r="L104" s="15"/>
      <c r="M104" s="29"/>
      <c r="N104" s="19"/>
      <c r="O104" s="14"/>
      <c r="P104" s="19"/>
      <c r="Q104" s="14"/>
      <c r="R104" s="19"/>
      <c r="S104" s="14"/>
      <c r="T104" s="28"/>
      <c r="U104" s="16" t="s">
        <v>11</v>
      </c>
      <c r="V104" s="70"/>
      <c r="W104" s="83"/>
      <c r="X104" s="83"/>
      <c r="Y104" s="83"/>
    </row>
    <row r="105" spans="3:25">
      <c r="D105" s="8">
        <f t="shared" si="9"/>
        <v>34</v>
      </c>
      <c r="E105" s="14"/>
      <c r="F105" s="13"/>
      <c r="G105" s="16"/>
      <c r="H105" s="13"/>
      <c r="I105" s="16"/>
      <c r="J105" s="19"/>
      <c r="K105" s="16"/>
      <c r="L105" s="15"/>
      <c r="M105" s="29"/>
      <c r="N105" s="19"/>
      <c r="O105" s="14"/>
      <c r="P105" s="19"/>
      <c r="Q105" s="14"/>
      <c r="R105" s="19"/>
      <c r="S105" s="14"/>
      <c r="T105" s="28"/>
      <c r="U105" s="16" t="s">
        <v>11</v>
      </c>
      <c r="V105" s="70"/>
      <c r="W105" s="83"/>
      <c r="X105" s="83"/>
      <c r="Y105" s="83"/>
    </row>
    <row r="106" spans="3:25">
      <c r="D106" s="8">
        <f>D105+1</f>
        <v>35</v>
      </c>
      <c r="E106" s="14"/>
      <c r="F106" s="13"/>
      <c r="G106" s="16"/>
      <c r="H106" s="13"/>
      <c r="I106" s="16"/>
      <c r="J106" s="19"/>
      <c r="K106" s="16"/>
      <c r="L106" s="15"/>
      <c r="M106" s="29"/>
      <c r="N106" s="19"/>
      <c r="O106" s="14"/>
      <c r="P106" s="19"/>
      <c r="Q106" s="14"/>
      <c r="R106" s="19"/>
      <c r="S106" s="14"/>
      <c r="T106" s="28"/>
      <c r="U106" s="16" t="s">
        <v>11</v>
      </c>
      <c r="V106" s="70"/>
      <c r="W106" s="83"/>
      <c r="X106" s="83"/>
      <c r="Y106" s="83"/>
    </row>
    <row r="107" spans="3:25" ht="18" customHeight="1">
      <c r="D107" s="84" t="s">
        <v>9</v>
      </c>
      <c r="E107" s="84"/>
      <c r="F107" s="84"/>
      <c r="G107" s="84"/>
      <c r="H107" s="84"/>
      <c r="I107" s="84"/>
      <c r="J107" s="84"/>
      <c r="K107" s="84"/>
      <c r="L107" s="84"/>
      <c r="M107" s="84"/>
      <c r="N107" s="84"/>
      <c r="O107" s="84"/>
      <c r="P107" s="84"/>
      <c r="Q107" s="84"/>
      <c r="R107" s="84"/>
      <c r="S107" s="84"/>
      <c r="T107" s="84"/>
      <c r="U107" s="84"/>
      <c r="V107" s="84"/>
      <c r="W107" s="84"/>
      <c r="X107" s="84"/>
      <c r="Y107" s="84"/>
    </row>
    <row r="108" spans="3:25">
      <c r="D108" s="8">
        <f>D106+1</f>
        <v>36</v>
      </c>
      <c r="E108" s="14"/>
      <c r="F108" s="13"/>
      <c r="G108" s="16"/>
      <c r="H108" s="13"/>
      <c r="I108" s="16"/>
      <c r="J108" s="19"/>
      <c r="K108" s="16"/>
      <c r="L108" s="15"/>
      <c r="M108" s="29"/>
      <c r="N108" s="19"/>
      <c r="O108" s="14"/>
      <c r="P108" s="19"/>
      <c r="Q108" s="14"/>
      <c r="R108" s="19"/>
      <c r="S108" s="14"/>
      <c r="T108" s="28"/>
      <c r="U108" s="16" t="s">
        <v>11</v>
      </c>
      <c r="V108" s="70"/>
      <c r="W108" s="83"/>
      <c r="X108" s="83"/>
      <c r="Y108" s="83"/>
    </row>
    <row r="109" spans="3:25">
      <c r="D109" s="8">
        <f>D108+1</f>
        <v>37</v>
      </c>
      <c r="E109" s="14"/>
      <c r="F109" s="13"/>
      <c r="G109" s="16"/>
      <c r="H109" s="13"/>
      <c r="I109" s="16"/>
      <c r="J109" s="19"/>
      <c r="K109" s="16"/>
      <c r="L109" s="15"/>
      <c r="M109" s="29"/>
      <c r="N109" s="19"/>
      <c r="O109" s="14"/>
      <c r="P109" s="19"/>
      <c r="Q109" s="14"/>
      <c r="R109" s="19"/>
      <c r="S109" s="14"/>
      <c r="T109" s="28"/>
      <c r="U109" s="16" t="s">
        <v>11</v>
      </c>
      <c r="V109" s="70"/>
      <c r="W109" s="83"/>
      <c r="X109" s="83"/>
      <c r="Y109" s="83"/>
    </row>
    <row r="110" spans="3:25">
      <c r="D110" s="8">
        <f t="shared" ref="D110:D111" si="10">D109+1</f>
        <v>38</v>
      </c>
      <c r="E110" s="14"/>
      <c r="F110" s="13"/>
      <c r="G110" s="16"/>
      <c r="H110" s="13"/>
      <c r="I110" s="16"/>
      <c r="J110" s="19"/>
      <c r="K110" s="16"/>
      <c r="L110" s="15"/>
      <c r="M110" s="29"/>
      <c r="N110" s="19"/>
      <c r="O110" s="14"/>
      <c r="P110" s="19"/>
      <c r="Q110" s="14"/>
      <c r="R110" s="19"/>
      <c r="S110" s="14"/>
      <c r="T110" s="28"/>
      <c r="U110" s="16" t="s">
        <v>11</v>
      </c>
      <c r="V110" s="70"/>
      <c r="W110" s="83"/>
      <c r="X110" s="83"/>
      <c r="Y110" s="83"/>
    </row>
    <row r="111" spans="3:25">
      <c r="D111" s="8">
        <f t="shared" si="10"/>
        <v>39</v>
      </c>
      <c r="E111" s="14"/>
      <c r="F111" s="13"/>
      <c r="G111" s="16"/>
      <c r="H111" s="13"/>
      <c r="I111" s="16"/>
      <c r="J111" s="19"/>
      <c r="K111" s="16"/>
      <c r="L111" s="15"/>
      <c r="M111" s="29"/>
      <c r="N111" s="19"/>
      <c r="O111" s="14"/>
      <c r="P111" s="19"/>
      <c r="Q111" s="14"/>
      <c r="R111" s="19"/>
      <c r="S111" s="14"/>
      <c r="T111" s="28"/>
      <c r="U111" s="16" t="s">
        <v>11</v>
      </c>
      <c r="V111" s="70"/>
      <c r="W111" s="83"/>
      <c r="X111" s="83"/>
      <c r="Y111" s="83"/>
    </row>
    <row r="112" spans="3:25">
      <c r="D112" s="8">
        <f>D111+1</f>
        <v>40</v>
      </c>
      <c r="E112" s="14"/>
      <c r="F112" s="13"/>
      <c r="G112" s="16"/>
      <c r="H112" s="13"/>
      <c r="I112" s="16"/>
      <c r="J112" s="19"/>
      <c r="K112" s="16"/>
      <c r="L112" s="15"/>
      <c r="M112" s="29"/>
      <c r="N112" s="19"/>
      <c r="O112" s="14"/>
      <c r="P112" s="19"/>
      <c r="Q112" s="14"/>
      <c r="R112" s="19"/>
      <c r="S112" s="14"/>
      <c r="T112" s="28"/>
      <c r="U112" s="16" t="s">
        <v>11</v>
      </c>
      <c r="V112" s="70"/>
      <c r="W112" s="83"/>
      <c r="X112" s="83"/>
      <c r="Y112" s="83"/>
    </row>
    <row r="113" spans="3:25" ht="18" customHeight="1">
      <c r="D113" s="84" t="s">
        <v>10</v>
      </c>
      <c r="E113" s="84"/>
      <c r="F113" s="84"/>
      <c r="G113" s="84"/>
      <c r="H113" s="84"/>
      <c r="I113" s="84"/>
      <c r="J113" s="84"/>
      <c r="K113" s="84"/>
      <c r="L113" s="84"/>
      <c r="M113" s="84"/>
      <c r="N113" s="84"/>
      <c r="O113" s="84"/>
      <c r="P113" s="84"/>
      <c r="Q113" s="84"/>
      <c r="R113" s="84"/>
      <c r="S113" s="84"/>
      <c r="T113" s="84"/>
      <c r="U113" s="84"/>
      <c r="V113" s="84"/>
      <c r="W113" s="84"/>
      <c r="X113" s="84"/>
      <c r="Y113" s="84"/>
    </row>
    <row r="114" spans="3:25">
      <c r="D114" s="8">
        <f>D112+1</f>
        <v>41</v>
      </c>
      <c r="E114" s="14"/>
      <c r="F114" s="13"/>
      <c r="G114" s="16"/>
      <c r="H114" s="13"/>
      <c r="I114" s="16"/>
      <c r="J114" s="19"/>
      <c r="K114" s="16"/>
      <c r="L114" s="15"/>
      <c r="M114" s="29"/>
      <c r="N114" s="19"/>
      <c r="O114" s="14"/>
      <c r="P114" s="19"/>
      <c r="Q114" s="14"/>
      <c r="R114" s="19"/>
      <c r="S114" s="14"/>
      <c r="T114" s="28"/>
      <c r="U114" s="16" t="s">
        <v>11</v>
      </c>
      <c r="V114" s="70"/>
      <c r="W114" s="83"/>
      <c r="X114" s="83"/>
      <c r="Y114" s="83"/>
    </row>
    <row r="115" spans="3:25">
      <c r="D115" s="8">
        <f>D114+1</f>
        <v>42</v>
      </c>
      <c r="E115" s="14"/>
      <c r="F115" s="13"/>
      <c r="G115" s="16"/>
      <c r="H115" s="13"/>
      <c r="I115" s="16"/>
      <c r="J115" s="19"/>
      <c r="K115" s="16"/>
      <c r="L115" s="15"/>
      <c r="M115" s="29"/>
      <c r="N115" s="19"/>
      <c r="O115" s="14"/>
      <c r="P115" s="19"/>
      <c r="Q115" s="14"/>
      <c r="R115" s="19"/>
      <c r="S115" s="14"/>
      <c r="T115" s="28"/>
      <c r="U115" s="16" t="s">
        <v>11</v>
      </c>
      <c r="V115" s="70"/>
      <c r="W115" s="83"/>
      <c r="X115" s="83"/>
      <c r="Y115" s="83"/>
    </row>
    <row r="116" spans="3:25">
      <c r="D116" s="8">
        <f t="shared" ref="D116:D117" si="11">D115+1</f>
        <v>43</v>
      </c>
      <c r="E116" s="14"/>
      <c r="F116" s="13"/>
      <c r="G116" s="16"/>
      <c r="H116" s="13"/>
      <c r="I116" s="16"/>
      <c r="J116" s="19"/>
      <c r="K116" s="16"/>
      <c r="L116" s="15"/>
      <c r="M116" s="29"/>
      <c r="N116" s="19"/>
      <c r="O116" s="14"/>
      <c r="P116" s="19"/>
      <c r="Q116" s="14"/>
      <c r="R116" s="19"/>
      <c r="S116" s="14"/>
      <c r="T116" s="28"/>
      <c r="U116" s="16" t="s">
        <v>11</v>
      </c>
      <c r="V116" s="70"/>
      <c r="W116" s="83"/>
      <c r="X116" s="83"/>
      <c r="Y116" s="83"/>
    </row>
    <row r="117" spans="3:25">
      <c r="D117" s="8">
        <f t="shared" si="11"/>
        <v>44</v>
      </c>
      <c r="E117" s="14"/>
      <c r="F117" s="13"/>
      <c r="G117" s="16"/>
      <c r="H117" s="13"/>
      <c r="I117" s="16"/>
      <c r="J117" s="19"/>
      <c r="K117" s="16"/>
      <c r="L117" s="15"/>
      <c r="M117" s="29"/>
      <c r="N117" s="19"/>
      <c r="O117" s="14"/>
      <c r="P117" s="19"/>
      <c r="Q117" s="14"/>
      <c r="R117" s="19"/>
      <c r="S117" s="14"/>
      <c r="T117" s="28"/>
      <c r="U117" s="16" t="s">
        <v>11</v>
      </c>
      <c r="V117" s="70"/>
      <c r="W117" s="83"/>
      <c r="X117" s="83"/>
      <c r="Y117" s="83"/>
    </row>
    <row r="118" spans="3:25">
      <c r="D118" s="8">
        <f>D117+1</f>
        <v>45</v>
      </c>
      <c r="E118" s="14"/>
      <c r="F118" s="13"/>
      <c r="G118" s="16"/>
      <c r="H118" s="13"/>
      <c r="I118" s="16"/>
      <c r="J118" s="19"/>
      <c r="K118" s="16"/>
      <c r="L118" s="15"/>
      <c r="M118" s="29"/>
      <c r="N118" s="19"/>
      <c r="O118" s="14"/>
      <c r="P118" s="19"/>
      <c r="Q118" s="14"/>
      <c r="R118" s="19"/>
      <c r="S118" s="14"/>
      <c r="T118" s="28"/>
      <c r="U118" s="16" t="s">
        <v>11</v>
      </c>
      <c r="V118" s="70"/>
      <c r="W118" s="83"/>
      <c r="X118" s="83"/>
      <c r="Y118" s="83"/>
    </row>
    <row r="119" spans="3:25" s="12" customFormat="1" ht="35" customHeight="1"/>
    <row r="120" spans="3:25" ht="25">
      <c r="C120" s="20" t="s">
        <v>75</v>
      </c>
      <c r="D120" s="85" t="s">
        <v>23</v>
      </c>
      <c r="E120" s="85"/>
      <c r="F120" s="85"/>
      <c r="G120" s="85"/>
      <c r="H120" s="85"/>
      <c r="I120" s="85"/>
      <c r="J120" s="85"/>
      <c r="K120" s="85"/>
      <c r="L120" s="85"/>
      <c r="M120" s="85"/>
      <c r="N120" s="85"/>
      <c r="O120" s="85"/>
      <c r="P120" s="85"/>
      <c r="Q120" s="85"/>
      <c r="R120" s="85"/>
      <c r="S120" s="85"/>
      <c r="T120" s="85"/>
      <c r="U120" s="85"/>
      <c r="V120" s="85"/>
      <c r="W120" s="85"/>
      <c r="X120" s="85"/>
      <c r="Y120" s="85"/>
    </row>
    <row r="121" spans="3:25" ht="18" customHeight="1">
      <c r="D121" s="84" t="s">
        <v>24</v>
      </c>
      <c r="E121" s="84"/>
      <c r="F121" s="84"/>
      <c r="G121" s="84"/>
      <c r="H121" s="84"/>
      <c r="I121" s="84"/>
      <c r="J121" s="84"/>
      <c r="K121" s="84"/>
      <c r="L121" s="84"/>
      <c r="M121" s="84"/>
      <c r="N121" s="84"/>
      <c r="O121" s="84"/>
      <c r="P121" s="84"/>
      <c r="Q121" s="84"/>
      <c r="R121" s="84"/>
      <c r="S121" s="84"/>
      <c r="T121" s="84"/>
      <c r="U121" s="84"/>
      <c r="V121" s="84"/>
      <c r="W121" s="84"/>
      <c r="X121" s="84"/>
      <c r="Y121" s="84"/>
    </row>
    <row r="122" spans="3:25">
      <c r="D122" s="8">
        <f>D118+1</f>
        <v>46</v>
      </c>
      <c r="E122" s="14"/>
      <c r="F122" s="13"/>
      <c r="G122" s="16"/>
      <c r="H122" s="13"/>
      <c r="I122" s="16"/>
      <c r="J122" s="19"/>
      <c r="K122" s="16"/>
      <c r="L122" s="15"/>
      <c r="M122" s="29"/>
      <c r="N122" s="19"/>
      <c r="O122" s="14"/>
      <c r="P122" s="19"/>
      <c r="Q122" s="14"/>
      <c r="R122" s="19"/>
      <c r="S122" s="14"/>
      <c r="T122" s="28"/>
      <c r="U122" s="70" t="s">
        <v>11</v>
      </c>
      <c r="V122" s="70"/>
      <c r="W122" s="83"/>
      <c r="X122" s="83"/>
      <c r="Y122" s="83"/>
    </row>
    <row r="123" spans="3:25">
      <c r="D123" s="8">
        <f>D122+1</f>
        <v>47</v>
      </c>
      <c r="E123" s="14"/>
      <c r="F123" s="13"/>
      <c r="G123" s="16"/>
      <c r="H123" s="13"/>
      <c r="I123" s="16"/>
      <c r="J123" s="19"/>
      <c r="K123" s="16"/>
      <c r="L123" s="15"/>
      <c r="M123" s="29"/>
      <c r="N123" s="19"/>
      <c r="O123" s="14"/>
      <c r="P123" s="19"/>
      <c r="Q123" s="14"/>
      <c r="R123" s="19"/>
      <c r="S123" s="14"/>
      <c r="T123" s="28"/>
      <c r="U123" s="70" t="s">
        <v>11</v>
      </c>
      <c r="V123" s="70"/>
      <c r="W123" s="83"/>
      <c r="X123" s="83"/>
      <c r="Y123" s="83"/>
    </row>
    <row r="124" spans="3:25">
      <c r="D124" s="8">
        <f t="shared" ref="D124:D125" si="12">D123+1</f>
        <v>48</v>
      </c>
      <c r="E124" s="14"/>
      <c r="F124" s="13"/>
      <c r="G124" s="16"/>
      <c r="H124" s="13"/>
      <c r="I124" s="16"/>
      <c r="J124" s="19"/>
      <c r="K124" s="16"/>
      <c r="L124" s="15"/>
      <c r="M124" s="29"/>
      <c r="N124" s="19"/>
      <c r="O124" s="14"/>
      <c r="P124" s="19"/>
      <c r="Q124" s="14"/>
      <c r="R124" s="19"/>
      <c r="S124" s="14"/>
      <c r="T124" s="28"/>
      <c r="U124" s="70" t="s">
        <v>11</v>
      </c>
      <c r="V124" s="70"/>
      <c r="W124" s="83"/>
      <c r="X124" s="83"/>
      <c r="Y124" s="83"/>
    </row>
    <row r="125" spans="3:25">
      <c r="D125" s="8">
        <f t="shared" si="12"/>
        <v>49</v>
      </c>
      <c r="E125" s="14"/>
      <c r="F125" s="13"/>
      <c r="G125" s="16"/>
      <c r="H125" s="13"/>
      <c r="I125" s="16"/>
      <c r="J125" s="19"/>
      <c r="K125" s="16"/>
      <c r="L125" s="15"/>
      <c r="M125" s="29"/>
      <c r="N125" s="19"/>
      <c r="O125" s="14"/>
      <c r="P125" s="19"/>
      <c r="Q125" s="14"/>
      <c r="R125" s="19"/>
      <c r="S125" s="14"/>
      <c r="T125" s="28"/>
      <c r="U125" s="70" t="s">
        <v>11</v>
      </c>
      <c r="V125" s="70"/>
      <c r="W125" s="83"/>
      <c r="X125" s="83"/>
      <c r="Y125" s="83"/>
    </row>
    <row r="126" spans="3:25">
      <c r="D126" s="8">
        <f>D125+1</f>
        <v>50</v>
      </c>
      <c r="E126" s="14"/>
      <c r="F126" s="13"/>
      <c r="G126" s="16"/>
      <c r="H126" s="13"/>
      <c r="I126" s="16"/>
      <c r="J126" s="19"/>
      <c r="K126" s="16"/>
      <c r="L126" s="15"/>
      <c r="M126" s="29"/>
      <c r="N126" s="19"/>
      <c r="O126" s="14"/>
      <c r="P126" s="19"/>
      <c r="Q126" s="14"/>
      <c r="R126" s="19"/>
      <c r="S126" s="14"/>
      <c r="T126" s="28"/>
      <c r="U126" s="70" t="s">
        <v>11</v>
      </c>
      <c r="V126" s="70"/>
      <c r="W126" s="83"/>
      <c r="X126" s="83"/>
      <c r="Y126" s="83"/>
    </row>
  </sheetData>
  <mergeCells count="93">
    <mergeCell ref="C11:D12"/>
    <mergeCell ref="E12:E23"/>
    <mergeCell ref="N12:N13"/>
    <mergeCell ref="D2:Y5"/>
    <mergeCell ref="E7:J7"/>
    <mergeCell ref="K7:Y7"/>
    <mergeCell ref="E8:G8"/>
    <mergeCell ref="H8:J8"/>
    <mergeCell ref="K8:Q8"/>
    <mergeCell ref="R8:W8"/>
    <mergeCell ref="X8:Y8"/>
    <mergeCell ref="C9:D10"/>
    <mergeCell ref="K9:L9"/>
    <mergeCell ref="N9:O9"/>
    <mergeCell ref="R9:R10"/>
    <mergeCell ref="S9:T9"/>
    <mergeCell ref="X13:Y14"/>
    <mergeCell ref="E26:G26"/>
    <mergeCell ref="E30:T30"/>
    <mergeCell ref="E31:E32"/>
    <mergeCell ref="F31:G32"/>
    <mergeCell ref="H31:I32"/>
    <mergeCell ref="J31:K32"/>
    <mergeCell ref="L31:M32"/>
    <mergeCell ref="N31:O32"/>
    <mergeCell ref="P31:T31"/>
    <mergeCell ref="W66:Y66"/>
    <mergeCell ref="F60:G60"/>
    <mergeCell ref="H60:K60"/>
    <mergeCell ref="N60:O60"/>
    <mergeCell ref="P60:Q60"/>
    <mergeCell ref="R60:S60"/>
    <mergeCell ref="T60:U60"/>
    <mergeCell ref="W60:Y60"/>
    <mergeCell ref="D62:Y62"/>
    <mergeCell ref="W63:Y63"/>
    <mergeCell ref="W64:Y64"/>
    <mergeCell ref="W65:Y65"/>
    <mergeCell ref="W79:Y79"/>
    <mergeCell ref="W67:Y67"/>
    <mergeCell ref="W68:Y68"/>
    <mergeCell ref="W69:Y69"/>
    <mergeCell ref="W70:Y70"/>
    <mergeCell ref="D72:Y72"/>
    <mergeCell ref="W73:Y73"/>
    <mergeCell ref="W74:Y74"/>
    <mergeCell ref="W75:Y75"/>
    <mergeCell ref="W76:Y76"/>
    <mergeCell ref="W77:Y77"/>
    <mergeCell ref="W78:Y78"/>
    <mergeCell ref="D93:Y93"/>
    <mergeCell ref="W80:Y80"/>
    <mergeCell ref="W81:Y81"/>
    <mergeCell ref="W82:Y82"/>
    <mergeCell ref="D84:Y84"/>
    <mergeCell ref="W85:Y85"/>
    <mergeCell ref="W86:Y86"/>
    <mergeCell ref="W87:Y87"/>
    <mergeCell ref="W88:Y88"/>
    <mergeCell ref="W89:Y89"/>
    <mergeCell ref="W90:Y90"/>
    <mergeCell ref="W91:Y91"/>
    <mergeCell ref="W106:Y106"/>
    <mergeCell ref="W94:Y94"/>
    <mergeCell ref="W95:Y95"/>
    <mergeCell ref="W96:Y96"/>
    <mergeCell ref="W97:Y97"/>
    <mergeCell ref="W98:Y98"/>
    <mergeCell ref="D100:Y100"/>
    <mergeCell ref="D101:Y101"/>
    <mergeCell ref="W102:Y102"/>
    <mergeCell ref="W103:Y103"/>
    <mergeCell ref="W104:Y104"/>
    <mergeCell ref="W105:Y105"/>
    <mergeCell ref="W118:Y118"/>
    <mergeCell ref="D107:Y107"/>
    <mergeCell ref="W108:Y108"/>
    <mergeCell ref="W109:Y109"/>
    <mergeCell ref="W110:Y110"/>
    <mergeCell ref="W111:Y111"/>
    <mergeCell ref="W112:Y112"/>
    <mergeCell ref="D113:Y113"/>
    <mergeCell ref="W114:Y114"/>
    <mergeCell ref="W115:Y115"/>
    <mergeCell ref="W116:Y116"/>
    <mergeCell ref="W117:Y117"/>
    <mergeCell ref="W126:Y126"/>
    <mergeCell ref="D120:Y120"/>
    <mergeCell ref="D121:Y121"/>
    <mergeCell ref="W122:Y122"/>
    <mergeCell ref="W123:Y123"/>
    <mergeCell ref="W124:Y124"/>
    <mergeCell ref="W125:Y125"/>
  </mergeCells>
  <conditionalFormatting sqref="H27">
    <cfRule type="containsText" dxfId="3" priority="1" operator="containsText" text="OK">
      <formula>NOT(ISERROR(SEARCH("OK",H27)))</formula>
    </cfRule>
    <cfRule type="containsText" dxfId="2" priority="2" stopIfTrue="1" operator="containsText" text="OUt of Calibration Range !!!">
      <formula>NOT(ISERROR(SEARCH("OUt of Calibration Range !!!",H27)))</formula>
    </cfRule>
  </conditionalFormatting>
  <pageMargins left="0.7" right="0.7" top="0.75" bottom="0.75" header="0.3" footer="0.3"/>
  <pageSetup paperSize="9" orientation="portrait" horizontalDpi="0" verticalDpi="0"/>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221D0-1918-4E4D-BDFE-0099936740BC}">
  <sheetPr codeName="Sheet7"/>
  <dimension ref="B1:Y53"/>
  <sheetViews>
    <sheetView showGridLines="0" topLeftCell="B1" zoomScale="90" zoomScaleNormal="90" workbookViewId="0">
      <selection activeCell="J53" sqref="J53"/>
    </sheetView>
  </sheetViews>
  <sheetFormatPr baseColWidth="10" defaultRowHeight="14"/>
  <cols>
    <col min="1" max="2" width="10.83203125" style="2"/>
    <col min="3" max="3" width="10.1640625" style="2" bestFit="1" customWidth="1"/>
    <col min="4" max="4" width="10.1640625" style="2" customWidth="1"/>
    <col min="5" max="5" width="9.5" style="2" customWidth="1"/>
    <col min="6" max="6" width="41.83203125" style="2" customWidth="1"/>
    <col min="7" max="7" width="24" style="2" bestFit="1" customWidth="1"/>
    <col min="8" max="8" width="30" style="2" bestFit="1" customWidth="1"/>
    <col min="9" max="9" width="4.83203125" style="2" bestFit="1" customWidth="1"/>
    <col min="10" max="10" width="38.1640625" style="2" bestFit="1" customWidth="1"/>
    <col min="11" max="11" width="3.83203125" style="2" bestFit="1" customWidth="1"/>
    <col min="12" max="12" width="9.6640625" style="2" bestFit="1" customWidth="1"/>
    <col min="13" max="13" width="8" style="2" bestFit="1" customWidth="1"/>
    <col min="14" max="14" width="6.33203125" style="2" bestFit="1" customWidth="1"/>
    <col min="15" max="15" width="9.6640625" style="2" bestFit="1" customWidth="1"/>
    <col min="16" max="16" width="8.83203125" style="2" bestFit="1" customWidth="1"/>
    <col min="17" max="17" width="3.83203125" style="2" bestFit="1" customWidth="1"/>
    <col min="18" max="18" width="7" style="2" bestFit="1" customWidth="1"/>
    <col min="19" max="20" width="10.83203125" style="2"/>
    <col min="21" max="21" width="30.5" style="2" bestFit="1" customWidth="1"/>
    <col min="22" max="22" width="6" style="2" customWidth="1"/>
    <col min="23" max="23" width="40" style="2" bestFit="1" customWidth="1"/>
    <col min="24" max="24" width="5.6640625" style="2" bestFit="1" customWidth="1"/>
    <col min="25" max="25" width="40" style="2" bestFit="1" customWidth="1"/>
    <col min="26" max="26" width="5.6640625" style="2" bestFit="1" customWidth="1"/>
    <col min="27" max="16384" width="10.83203125" style="2"/>
  </cols>
  <sheetData>
    <row r="1" spans="2:25">
      <c r="E1" s="4"/>
      <c r="F1" s="4"/>
    </row>
    <row r="2" spans="2:25" ht="20" customHeight="1">
      <c r="E2" s="4"/>
      <c r="F2" s="131" t="s">
        <v>133</v>
      </c>
      <c r="G2" s="131" t="s">
        <v>141</v>
      </c>
      <c r="H2" s="130" t="s">
        <v>38</v>
      </c>
      <c r="I2" s="4"/>
      <c r="J2" s="130" t="s">
        <v>70</v>
      </c>
      <c r="K2" s="4"/>
      <c r="L2" s="130" t="s">
        <v>64</v>
      </c>
      <c r="M2" s="130"/>
      <c r="N2" s="130"/>
      <c r="O2" s="130"/>
      <c r="P2" s="130"/>
      <c r="Q2" s="4"/>
      <c r="R2" s="130" t="s">
        <v>91</v>
      </c>
      <c r="T2" s="131" t="s">
        <v>30</v>
      </c>
      <c r="U2" s="130" t="s">
        <v>38</v>
      </c>
      <c r="V2" s="1"/>
      <c r="W2" s="4"/>
    </row>
    <row r="3" spans="2:25" ht="15">
      <c r="E3" s="4"/>
      <c r="F3" s="132"/>
      <c r="G3" s="132"/>
      <c r="H3" s="130"/>
      <c r="I3" s="4"/>
      <c r="J3" s="130"/>
      <c r="K3" s="4"/>
      <c r="L3" s="10" t="s">
        <v>102</v>
      </c>
      <c r="M3" s="10" t="s">
        <v>66</v>
      </c>
      <c r="N3" s="10" t="s">
        <v>68</v>
      </c>
      <c r="O3" s="10" t="s">
        <v>69</v>
      </c>
      <c r="P3" s="10" t="s">
        <v>57</v>
      </c>
      <c r="R3" s="130"/>
      <c r="T3" s="132"/>
      <c r="U3" s="130"/>
      <c r="V3" s="1"/>
      <c r="W3" s="4"/>
    </row>
    <row r="4" spans="2:25">
      <c r="C4" s="4"/>
      <c r="D4" s="4"/>
      <c r="E4" s="4"/>
      <c r="F4" s="3">
        <v>2.5000000000000001E-2</v>
      </c>
      <c r="G4" s="25">
        <v>2.5000000000000001E-2</v>
      </c>
      <c r="H4" s="25">
        <v>4.7690249331983653E-2</v>
      </c>
      <c r="I4" s="16" t="s">
        <v>0</v>
      </c>
      <c r="J4" s="82">
        <v>190.7609973279346</v>
      </c>
      <c r="K4" s="16" t="s">
        <v>11</v>
      </c>
      <c r="L4" s="28">
        <v>1.8088422888013853E-3</v>
      </c>
      <c r="M4" s="28">
        <v>4.4884424039736599</v>
      </c>
      <c r="N4" s="28">
        <v>9.1600865387217554E-4</v>
      </c>
      <c r="O4" s="28">
        <v>95.274279931321942</v>
      </c>
      <c r="P4" s="28">
        <v>0.2345528137617022</v>
      </c>
      <c r="Q4" s="16" t="s">
        <v>11</v>
      </c>
      <c r="R4" s="30">
        <f>SUM(L4:P4)/100</f>
        <v>0.99999999999999967</v>
      </c>
      <c r="T4" s="26">
        <f t="shared" ref="T4:U9" si="0">G4*100</f>
        <v>2.5</v>
      </c>
      <c r="U4" s="26">
        <f t="shared" si="0"/>
        <v>4.7690249331983656</v>
      </c>
      <c r="V4" s="16" t="s">
        <v>90</v>
      </c>
    </row>
    <row r="5" spans="2:25">
      <c r="C5" s="4"/>
      <c r="D5" s="4"/>
      <c r="E5" s="4"/>
      <c r="F5" s="3">
        <f>F4*2</f>
        <v>0.05</v>
      </c>
      <c r="G5" s="25">
        <v>0.05</v>
      </c>
      <c r="H5" s="25">
        <v>4.7692198524462756E-2</v>
      </c>
      <c r="I5" s="16" t="s">
        <v>0</v>
      </c>
      <c r="J5" s="82">
        <v>95.384397048925507</v>
      </c>
      <c r="K5" s="16" t="s">
        <v>11</v>
      </c>
      <c r="L5" s="28">
        <v>7.2347777444768287E-3</v>
      </c>
      <c r="M5" s="28">
        <v>4.4880755238689991</v>
      </c>
      <c r="N5" s="28">
        <v>3.6637351215257148E-3</v>
      </c>
      <c r="O5" s="28">
        <v>95.266492321579705</v>
      </c>
      <c r="P5" s="28">
        <v>0.23453364168526314</v>
      </c>
      <c r="Q5" s="16" t="s">
        <v>11</v>
      </c>
      <c r="R5" s="30">
        <f t="shared" ref="R5:R9" si="1">SUM(L5:P5)/100</f>
        <v>0.99999999999999967</v>
      </c>
      <c r="T5" s="26">
        <f t="shared" si="0"/>
        <v>5</v>
      </c>
      <c r="U5" s="26">
        <f t="shared" si="0"/>
        <v>4.7692198524462759</v>
      </c>
      <c r="V5" s="16" t="s">
        <v>90</v>
      </c>
    </row>
    <row r="6" spans="2:25" ht="15" customHeight="1">
      <c r="B6" s="133" t="s">
        <v>92</v>
      </c>
      <c r="C6" s="133"/>
      <c r="D6" s="133"/>
      <c r="E6" s="4"/>
      <c r="F6" s="3">
        <f>F5+0.025</f>
        <v>7.5000000000000011E-2</v>
      </c>
      <c r="G6" s="25">
        <v>7.5000000000000011E-2</v>
      </c>
      <c r="H6" s="25">
        <v>4.7695447001575533E-2</v>
      </c>
      <c r="I6" s="16" t="s">
        <v>0</v>
      </c>
      <c r="J6" s="82">
        <v>63.593929335434026</v>
      </c>
      <c r="K6" s="16" t="s">
        <v>11</v>
      </c>
      <c r="L6" s="28">
        <v>1.6276032618186661E-2</v>
      </c>
      <c r="M6" s="28">
        <v>4.4874641902913304</v>
      </c>
      <c r="N6" s="28">
        <v>8.2422811658412233E-3</v>
      </c>
      <c r="O6" s="28">
        <v>95.253515800736139</v>
      </c>
      <c r="P6" s="28">
        <v>0.23450169518848685</v>
      </c>
      <c r="Q6" s="16" t="s">
        <v>11</v>
      </c>
      <c r="R6" s="30">
        <f t="shared" si="1"/>
        <v>0.99999999999999989</v>
      </c>
      <c r="T6" s="26">
        <f t="shared" si="0"/>
        <v>7.5000000000000009</v>
      </c>
      <c r="U6" s="26">
        <f t="shared" si="0"/>
        <v>4.7695447001575531</v>
      </c>
      <c r="V6" s="16" t="s">
        <v>90</v>
      </c>
    </row>
    <row r="7" spans="2:25">
      <c r="B7" s="133"/>
      <c r="C7" s="133"/>
      <c r="D7" s="133"/>
      <c r="E7" s="4"/>
      <c r="F7" s="3">
        <f>F6+0.025</f>
        <v>0.1</v>
      </c>
      <c r="G7" s="25">
        <v>0.1</v>
      </c>
      <c r="H7" s="25">
        <v>4.7699994497869359E-2</v>
      </c>
      <c r="I7" s="16" t="s">
        <v>0</v>
      </c>
      <c r="J7" s="82">
        <v>47.699994497869355</v>
      </c>
      <c r="K7" s="16" t="s">
        <v>11</v>
      </c>
      <c r="L7" s="28">
        <v>2.892965227228237E-2</v>
      </c>
      <c r="M7" s="28">
        <v>4.4866086030214571</v>
      </c>
      <c r="N7" s="28">
        <v>1.4650150540478234E-2</v>
      </c>
      <c r="O7" s="28">
        <v>95.235354609454447</v>
      </c>
      <c r="P7" s="28">
        <v>0.23445698471133117</v>
      </c>
      <c r="Q7" s="16" t="s">
        <v>11</v>
      </c>
      <c r="R7" s="30">
        <f t="shared" si="1"/>
        <v>1</v>
      </c>
      <c r="T7" s="26">
        <f t="shared" si="0"/>
        <v>10</v>
      </c>
      <c r="U7" s="26">
        <f t="shared" si="0"/>
        <v>4.769999449786936</v>
      </c>
      <c r="V7" s="16" t="s">
        <v>90</v>
      </c>
    </row>
    <row r="8" spans="2:25">
      <c r="B8" s="133"/>
      <c r="C8" s="133"/>
      <c r="D8" s="133"/>
      <c r="E8" s="4"/>
      <c r="F8" s="3">
        <f>F7+0.05</f>
        <v>0.15000000000000002</v>
      </c>
      <c r="G8" s="25">
        <v>0.15000000000000002</v>
      </c>
      <c r="H8" s="25">
        <v>1.7429350726961487E-2</v>
      </c>
      <c r="I8" s="16" t="s">
        <v>0</v>
      </c>
      <c r="J8" s="82">
        <v>11.619567151307656</v>
      </c>
      <c r="K8" s="16" t="s">
        <v>11</v>
      </c>
      <c r="L8" s="28">
        <v>0.48752845772703796</v>
      </c>
      <c r="M8" s="28">
        <v>33.604112057281341</v>
      </c>
      <c r="N8" s="28">
        <v>0.24688735389023034</v>
      </c>
      <c r="O8" s="28">
        <v>63.905419958075626</v>
      </c>
      <c r="P8" s="28">
        <v>1.756052173025753</v>
      </c>
      <c r="Q8" s="16" t="s">
        <v>11</v>
      </c>
      <c r="R8" s="30">
        <f t="shared" si="1"/>
        <v>0.99999999999999989</v>
      </c>
      <c r="T8" s="26">
        <f t="shared" si="0"/>
        <v>15.000000000000002</v>
      </c>
      <c r="U8" s="26">
        <f t="shared" si="0"/>
        <v>1.7429350726961488</v>
      </c>
      <c r="V8" s="16" t="s">
        <v>90</v>
      </c>
    </row>
    <row r="9" spans="2:25">
      <c r="B9" s="133"/>
      <c r="C9" s="133"/>
      <c r="D9" s="133"/>
      <c r="E9" s="4"/>
      <c r="F9" s="3">
        <f>F8+0.05</f>
        <v>0.2</v>
      </c>
      <c r="G9" s="25">
        <v>0.2</v>
      </c>
      <c r="H9" s="25">
        <v>1.7479059140299843E-2</v>
      </c>
      <c r="I9" s="16" t="s">
        <v>0</v>
      </c>
      <c r="J9" s="26">
        <v>8.7395295701499212</v>
      </c>
      <c r="K9" s="16" t="s">
        <v>11</v>
      </c>
      <c r="L9" s="28">
        <v>0.86179458154874689</v>
      </c>
      <c r="M9" s="28">
        <v>33.413251455829204</v>
      </c>
      <c r="N9" s="28">
        <v>0.43641797819858558</v>
      </c>
      <c r="O9" s="28">
        <v>63.542457625714036</v>
      </c>
      <c r="P9" s="28">
        <v>1.7460783587094069</v>
      </c>
      <c r="Q9" s="16" t="s">
        <v>11</v>
      </c>
      <c r="R9" s="30">
        <f t="shared" si="1"/>
        <v>0.99999999999999989</v>
      </c>
      <c r="T9" s="26">
        <f t="shared" si="0"/>
        <v>20</v>
      </c>
      <c r="U9" s="26">
        <f t="shared" si="0"/>
        <v>1.7479059140299842</v>
      </c>
      <c r="V9" s="16" t="s">
        <v>90</v>
      </c>
    </row>
    <row r="10" spans="2:25" s="4" customFormat="1">
      <c r="X10" s="1"/>
      <c r="Y10" s="1"/>
    </row>
    <row r="11" spans="2:25" s="4" customFormat="1">
      <c r="X11" s="1"/>
      <c r="Y11" s="1"/>
    </row>
    <row r="12" spans="2:25" s="4" customFormat="1">
      <c r="X12" s="1"/>
      <c r="Y12" s="1"/>
    </row>
    <row r="13" spans="2:25" s="4" customFormat="1">
      <c r="X13" s="1"/>
      <c r="Y13" s="1"/>
    </row>
    <row r="14" spans="2:25" s="4" customFormat="1">
      <c r="X14" s="1"/>
      <c r="Y14" s="1"/>
    </row>
    <row r="15" spans="2:25" s="4" customFormat="1">
      <c r="X15" s="1"/>
      <c r="Y15" s="1"/>
    </row>
    <row r="16" spans="2:25" s="4" customFormat="1"/>
    <row r="17" spans="21:24" s="4" customFormat="1"/>
    <row r="18" spans="21:24" s="4" customFormat="1" ht="14" customHeight="1">
      <c r="U18" s="1"/>
      <c r="V18" s="1"/>
      <c r="W18" s="1"/>
      <c r="X18" s="1"/>
    </row>
    <row r="19" spans="21:24" s="4" customFormat="1" ht="14" customHeight="1">
      <c r="U19" s="1"/>
      <c r="V19" s="1"/>
      <c r="W19" s="1"/>
      <c r="X19" s="1"/>
    </row>
    <row r="20" spans="21:24" s="4" customFormat="1" ht="14" customHeight="1">
      <c r="U20" s="1"/>
      <c r="V20" s="1"/>
      <c r="W20" s="1"/>
      <c r="X20" s="1"/>
    </row>
    <row r="21" spans="21:24" s="4" customFormat="1" ht="14" customHeight="1">
      <c r="U21" s="1"/>
      <c r="V21" s="1"/>
      <c r="W21" s="1"/>
      <c r="X21" s="1"/>
    </row>
    <row r="22" spans="21:24" s="4" customFormat="1" ht="14" customHeight="1">
      <c r="U22" s="1"/>
      <c r="V22" s="1"/>
      <c r="W22" s="1"/>
      <c r="X22" s="1"/>
    </row>
    <row r="23" spans="21:24" s="4" customFormat="1" ht="14" customHeight="1">
      <c r="U23" s="1"/>
      <c r="V23" s="1"/>
      <c r="W23" s="1"/>
      <c r="X23" s="1"/>
    </row>
    <row r="24" spans="21:24" s="4" customFormat="1" ht="14" customHeight="1">
      <c r="U24" s="1"/>
      <c r="V24" s="1"/>
      <c r="W24" s="1"/>
      <c r="X24" s="1"/>
    </row>
    <row r="25" spans="21:24" s="4" customFormat="1" ht="14" customHeight="1">
      <c r="U25" s="1"/>
      <c r="V25" s="1"/>
      <c r="W25" s="1"/>
      <c r="X25" s="1"/>
    </row>
    <row r="26" spans="21:24" s="4" customFormat="1" ht="14" customHeight="1">
      <c r="U26" s="1"/>
      <c r="V26" s="1"/>
      <c r="W26" s="1"/>
      <c r="X26" s="1"/>
    </row>
    <row r="27" spans="21:24" s="4" customFormat="1" ht="14" customHeight="1">
      <c r="U27" s="1"/>
      <c r="V27" s="1"/>
      <c r="W27" s="1"/>
      <c r="X27" s="1"/>
    </row>
    <row r="28" spans="21:24" s="4" customFormat="1" ht="14" customHeight="1">
      <c r="U28" s="1"/>
      <c r="V28" s="1"/>
      <c r="W28" s="1"/>
      <c r="X28" s="1"/>
    </row>
    <row r="29" spans="21:24" s="4" customFormat="1" ht="14" customHeight="1">
      <c r="U29" s="1"/>
      <c r="V29" s="1"/>
      <c r="W29" s="1"/>
      <c r="X29" s="1"/>
    </row>
    <row r="30" spans="21:24" s="4" customFormat="1" ht="14" customHeight="1">
      <c r="U30" s="1"/>
      <c r="V30" s="1"/>
      <c r="W30" s="1"/>
      <c r="X30" s="1"/>
    </row>
    <row r="31" spans="21:24" s="4" customFormat="1" ht="14" customHeight="1">
      <c r="U31" s="1"/>
      <c r="V31" s="1"/>
      <c r="W31" s="1"/>
      <c r="X31" s="1"/>
    </row>
    <row r="32" spans="21:24" s="4" customFormat="1" ht="14" customHeight="1">
      <c r="U32" s="1"/>
      <c r="V32" s="1"/>
      <c r="W32" s="1"/>
      <c r="X32" s="1"/>
    </row>
    <row r="33" spans="7:24" s="4" customFormat="1" ht="14" customHeight="1">
      <c r="U33" s="1"/>
      <c r="V33" s="1"/>
      <c r="W33" s="1"/>
      <c r="X33" s="1"/>
    </row>
    <row r="34" spans="7:24" s="4" customFormat="1" ht="14" customHeight="1">
      <c r="U34" s="1"/>
      <c r="V34" s="1"/>
      <c r="W34" s="1"/>
      <c r="X34" s="1"/>
    </row>
    <row r="35" spans="7:24" s="4" customFormat="1" ht="14" customHeight="1">
      <c r="U35" s="1"/>
      <c r="V35" s="1"/>
      <c r="W35" s="1"/>
      <c r="X35" s="1"/>
    </row>
    <row r="36" spans="7:24" s="4" customFormat="1" ht="14" customHeight="1">
      <c r="U36" s="1"/>
      <c r="V36" s="1"/>
      <c r="W36" s="1"/>
      <c r="X36" s="1"/>
    </row>
    <row r="37" spans="7:24" s="4" customFormat="1" ht="14" customHeight="1">
      <c r="U37" s="1"/>
      <c r="V37" s="1"/>
      <c r="W37" s="1"/>
      <c r="X37" s="1"/>
    </row>
    <row r="38" spans="7:24" s="4" customFormat="1" ht="15" customHeight="1">
      <c r="H38" s="81"/>
      <c r="U38" s="1"/>
      <c r="V38" s="1"/>
      <c r="W38" s="1"/>
      <c r="X38" s="1"/>
    </row>
    <row r="39" spans="7:24" s="4" customFormat="1" ht="15" customHeight="1">
      <c r="H39" s="81"/>
      <c r="U39" s="1"/>
      <c r="V39" s="1"/>
      <c r="W39" s="1"/>
      <c r="X39" s="1"/>
    </row>
    <row r="40" spans="7:24" s="4" customFormat="1" ht="15" customHeight="1">
      <c r="H40" s="81"/>
      <c r="U40" s="1"/>
      <c r="V40" s="1"/>
      <c r="W40" s="1"/>
      <c r="X40" s="1"/>
    </row>
    <row r="41" spans="7:24" ht="14" customHeight="1">
      <c r="G41" s="4"/>
      <c r="U41" s="1"/>
      <c r="V41" s="1"/>
      <c r="W41" s="1"/>
      <c r="X41" s="1"/>
    </row>
    <row r="42" spans="7:24" ht="14" customHeight="1">
      <c r="U42" s="1"/>
      <c r="V42" s="1"/>
      <c r="W42" s="1"/>
      <c r="X42" s="1"/>
    </row>
    <row r="43" spans="7:24" ht="14" customHeight="1">
      <c r="U43" s="1"/>
      <c r="V43" s="1"/>
      <c r="W43" s="1"/>
      <c r="X43" s="1"/>
    </row>
    <row r="44" spans="7:24" ht="14" customHeight="1">
      <c r="U44" s="1"/>
      <c r="V44" s="1"/>
      <c r="W44" s="1"/>
      <c r="X44" s="1"/>
    </row>
    <row r="45" spans="7:24" ht="14" customHeight="1">
      <c r="U45" s="1"/>
      <c r="V45" s="1"/>
      <c r="W45" s="1"/>
      <c r="X45" s="1"/>
    </row>
    <row r="46" spans="7:24" ht="14" customHeight="1">
      <c r="U46" s="1"/>
      <c r="V46" s="1"/>
      <c r="W46" s="1"/>
      <c r="X46" s="1"/>
    </row>
    <row r="48" spans="7:24" ht="15">
      <c r="N48" s="5"/>
      <c r="O48" s="5"/>
      <c r="P48" s="5"/>
      <c r="Q48" s="5"/>
      <c r="R48" s="5"/>
      <c r="S48" s="5"/>
      <c r="T48" s="5"/>
      <c r="U48" s="10" t="s">
        <v>65</v>
      </c>
      <c r="V48" s="128" t="s">
        <v>84</v>
      </c>
      <c r="W48" s="129"/>
    </row>
    <row r="49" spans="21:23" ht="15">
      <c r="U49" s="10" t="s">
        <v>66</v>
      </c>
      <c r="V49" s="128" t="s">
        <v>85</v>
      </c>
      <c r="W49" s="129" t="s">
        <v>85</v>
      </c>
    </row>
    <row r="50" spans="21:23" ht="15">
      <c r="U50" s="10" t="s">
        <v>67</v>
      </c>
      <c r="V50" s="128" t="s">
        <v>86</v>
      </c>
      <c r="W50" s="129" t="s">
        <v>86</v>
      </c>
    </row>
    <row r="51" spans="21:23" ht="15">
      <c r="U51" s="10" t="s">
        <v>68</v>
      </c>
      <c r="V51" s="128" t="s">
        <v>87</v>
      </c>
      <c r="W51" s="129" t="s">
        <v>87</v>
      </c>
    </row>
    <row r="52" spans="21:23" ht="15">
      <c r="U52" s="10" t="s">
        <v>69</v>
      </c>
      <c r="V52" s="128" t="s">
        <v>88</v>
      </c>
      <c r="W52" s="129" t="s">
        <v>88</v>
      </c>
    </row>
    <row r="53" spans="21:23" ht="15">
      <c r="U53" s="10" t="s">
        <v>57</v>
      </c>
      <c r="V53" s="128" t="s">
        <v>89</v>
      </c>
      <c r="W53" s="129" t="s">
        <v>89</v>
      </c>
    </row>
  </sheetData>
  <sheetProtection formatCells="0" formatColumns="0" formatRows="0" insertColumns="0" insertRows="0" deleteColumns="0" deleteRows="0"/>
  <mergeCells count="15">
    <mergeCell ref="B6:D9"/>
    <mergeCell ref="V48:W48"/>
    <mergeCell ref="V49:W49"/>
    <mergeCell ref="F2:F3"/>
    <mergeCell ref="G2:G3"/>
    <mergeCell ref="H2:H3"/>
    <mergeCell ref="J2:J3"/>
    <mergeCell ref="L2:P2"/>
    <mergeCell ref="R2:R3"/>
    <mergeCell ref="V50:W50"/>
    <mergeCell ref="V51:W51"/>
    <mergeCell ref="V52:W52"/>
    <mergeCell ref="V53:W53"/>
    <mergeCell ref="T2:T3"/>
    <mergeCell ref="U2:U3"/>
  </mergeCell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Analysis_2.Analysis_2">
                <anchor moveWithCells="1" sizeWithCells="1">
                  <from>
                    <xdr:col>0</xdr:col>
                    <xdr:colOff>812800</xdr:colOff>
                    <xdr:row>1</xdr:row>
                    <xdr:rowOff>0</xdr:rowOff>
                  </from>
                  <to>
                    <xdr:col>4</xdr:col>
                    <xdr:colOff>0</xdr:colOff>
                    <xdr:row>3</xdr:row>
                    <xdr:rowOff>101600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54087FC-FE78-4433-9D03-43479397B0F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UQ-Budget-CorrectSettings</vt:lpstr>
      <vt:lpstr>Unc.Contributions Analysis-1</vt:lpstr>
      <vt:lpstr>UQ-Budget-VolvoSettings</vt:lpstr>
      <vt:lpstr>Unc.Contributions Analysis-2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I. Camacho</dc:creator>
  <cp:lastModifiedBy>Javier Camacho</cp:lastModifiedBy>
  <dcterms:created xsi:type="dcterms:W3CDTF">2015-03-04T20:50:38Z</dcterms:created>
  <dcterms:modified xsi:type="dcterms:W3CDTF">2025-03-21T20:37:29Z</dcterms:modified>
</cp:coreProperties>
</file>